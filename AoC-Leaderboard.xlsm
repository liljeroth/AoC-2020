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031933\Genvägar\GAMB UK\AoC\"/>
    </mc:Choice>
  </mc:AlternateContent>
  <bookViews>
    <workbookView xWindow="0" yWindow="0" windowWidth="20490" windowHeight="6720" activeTab="2"/>
  </bookViews>
  <sheets>
    <sheet name="Score" sheetId="10" r:id="rId1"/>
    <sheet name="Leaderboard" sheetId="12" r:id="rId2"/>
    <sheet name="Graph" sheetId="13" r:id="rId3"/>
  </sheets>
  <functionGroups builtInGroupCount="18"/>
  <definedNames>
    <definedName name="_xlnm._FilterDatabase" localSheetId="1" hidden="1">Leaderboard!$A$2:$AZ$52</definedName>
    <definedName name="D01A">#REF!</definedName>
    <definedName name="D01B">#REF!</definedName>
    <definedName name="D02A">#REF!</definedName>
    <definedName name="D02B">#REF!</definedName>
    <definedName name="D03A">#REF!</definedName>
    <definedName name="D03B">#REF!</definedName>
    <definedName name="D04A">#REF!</definedName>
    <definedName name="D04B">#REF!</definedName>
    <definedName name="D05A">#REF!</definedName>
    <definedName name="D05B">#REF!</definedName>
    <definedName name="D06A">#REF!</definedName>
    <definedName name="D06B">#REF!</definedName>
    <definedName name="D07A">#REF!</definedName>
    <definedName name="D07B">#REF!</definedName>
    <definedName name="D08A">#REF!</definedName>
    <definedName name="D08B">#REF!</definedName>
    <definedName name="D09A">#REF!</definedName>
    <definedName name="D09B">#REF!</definedName>
    <definedName name="D10A">#REF!</definedName>
    <definedName name="D10B">#REF!</definedName>
    <definedName name="D11A">#REF!</definedName>
    <definedName name="D11B">#REF!</definedName>
    <definedName name="D12A">#REF!</definedName>
    <definedName name="D12B">#REF!</definedName>
    <definedName name="D13A">#REF!</definedName>
    <definedName name="D13B">#REF!</definedName>
    <definedName name="D14A">#REF!</definedName>
    <definedName name="D14B">#REF!</definedName>
    <definedName name="D15A">#REF!</definedName>
    <definedName name="D15B">#REF!</definedName>
    <definedName name="D16A">#REF!</definedName>
    <definedName name="D16B">#REF!</definedName>
    <definedName name="D17A">#REF!</definedName>
    <definedName name="D17B">#REF!</definedName>
    <definedName name="D18A">#REF!</definedName>
    <definedName name="D18B">#REF!</definedName>
    <definedName name="D19A">#REF!</definedName>
    <definedName name="D19B">#REF!</definedName>
    <definedName name="D20A">#REF!</definedName>
    <definedName name="D20B">#REF!</definedName>
    <definedName name="D21A">#REF!</definedName>
    <definedName name="D21B">#REF!</definedName>
    <definedName name="D22A">#REF!</definedName>
    <definedName name="D22B">#REF!</definedName>
    <definedName name="D23A">#REF!</definedName>
    <definedName name="D23B">#REF!</definedName>
    <definedName name="D24A">#REF!</definedName>
    <definedName name="D24B">#REF!</definedName>
    <definedName name="D25A">#REF!</definedName>
    <definedName name="D25B">#REF!</definedName>
  </definedNames>
  <calcPr calcId="162913" iterate="1" iterateDelta="0.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I27" i="12" l="1"/>
  <c r="BJ27" i="12" s="1"/>
  <c r="BK27" i="12" s="1"/>
  <c r="BL27" i="12" s="1"/>
  <c r="BM27" i="12" s="1"/>
  <c r="BN27" i="12" s="1"/>
  <c r="BO27" i="12" s="1"/>
  <c r="BP27" i="12" s="1"/>
  <c r="BQ27" i="12" s="1"/>
  <c r="BR27" i="12" s="1"/>
  <c r="BS27" i="12" s="1"/>
  <c r="BT27" i="12" s="1"/>
  <c r="BU27" i="12" s="1"/>
  <c r="BV27" i="12" s="1"/>
  <c r="BW27" i="12" s="1"/>
  <c r="BX27" i="12" s="1"/>
  <c r="BY27" i="12" s="1"/>
  <c r="BZ27" i="12" s="1"/>
  <c r="CA27" i="12" s="1"/>
  <c r="CB27" i="12" s="1"/>
  <c r="CC27" i="12" s="1"/>
  <c r="CD27" i="12" s="1"/>
  <c r="CE27" i="12" s="1"/>
  <c r="CF27" i="12" s="1"/>
  <c r="CG27" i="12" s="1"/>
  <c r="CH27" i="12" s="1"/>
  <c r="CI27" i="12" s="1"/>
  <c r="CJ27" i="12" s="1"/>
  <c r="CK27" i="12" s="1"/>
  <c r="CL27" i="12" s="1"/>
  <c r="CM27" i="12" s="1"/>
  <c r="CN27" i="12" s="1"/>
  <c r="CO27" i="12" s="1"/>
  <c r="CP27" i="12" s="1"/>
  <c r="CQ27" i="12" s="1"/>
  <c r="CR27" i="12" s="1"/>
  <c r="CS27" i="12" s="1"/>
  <c r="CT27" i="12" s="1"/>
  <c r="CU27" i="12" s="1"/>
  <c r="CV27" i="12" s="1"/>
  <c r="CW27" i="12" s="1"/>
  <c r="CX27" i="12" s="1"/>
  <c r="CY27" i="12" s="1"/>
  <c r="BD27" i="12"/>
  <c r="BE27" i="12" s="1"/>
  <c r="BF27" i="12" s="1"/>
  <c r="BG27" i="12" s="1"/>
  <c r="BH27" i="12" s="1"/>
  <c r="BD26" i="12"/>
  <c r="BE26" i="12" s="1"/>
  <c r="BF26" i="12" s="1"/>
  <c r="BG26" i="12" s="1"/>
  <c r="BH26" i="12" s="1"/>
  <c r="BI26" i="12" s="1"/>
  <c r="BJ26" i="12" s="1"/>
  <c r="BK26" i="12" s="1"/>
  <c r="BL26" i="12" s="1"/>
  <c r="BM26" i="12" s="1"/>
  <c r="BN26" i="12" s="1"/>
  <c r="BO26" i="12" s="1"/>
  <c r="BP26" i="12" s="1"/>
  <c r="BQ26" i="12" s="1"/>
  <c r="BR26" i="12" s="1"/>
  <c r="BS26" i="12" s="1"/>
  <c r="BT26" i="12" s="1"/>
  <c r="BU26" i="12" s="1"/>
  <c r="BV26" i="12" s="1"/>
  <c r="BW26" i="12" s="1"/>
  <c r="BX26" i="12" s="1"/>
  <c r="BY26" i="12" s="1"/>
  <c r="BZ26" i="12" s="1"/>
  <c r="CA26" i="12" s="1"/>
  <c r="CB26" i="12" s="1"/>
  <c r="CC26" i="12" s="1"/>
  <c r="CD26" i="12" s="1"/>
  <c r="CE26" i="12" s="1"/>
  <c r="CF26" i="12" s="1"/>
  <c r="CG26" i="12" s="1"/>
  <c r="CH26" i="12" s="1"/>
  <c r="CI26" i="12" s="1"/>
  <c r="CJ26" i="12" s="1"/>
  <c r="CK26" i="12" s="1"/>
  <c r="CL26" i="12" s="1"/>
  <c r="CM26" i="12" s="1"/>
  <c r="CN26" i="12" s="1"/>
  <c r="CO26" i="12" s="1"/>
  <c r="CP26" i="12" s="1"/>
  <c r="CQ26" i="12" s="1"/>
  <c r="CR26" i="12" s="1"/>
  <c r="CS26" i="12" s="1"/>
  <c r="CT26" i="12" s="1"/>
  <c r="CU26" i="12" s="1"/>
  <c r="CV26" i="12" s="1"/>
  <c r="CW26" i="12" s="1"/>
  <c r="CX26" i="12" s="1"/>
  <c r="CY26" i="12" s="1"/>
  <c r="A26" i="12" s="1"/>
  <c r="BX25" i="12"/>
  <c r="BY25" i="12" s="1"/>
  <c r="BZ25" i="12" s="1"/>
  <c r="CA25" i="12" s="1"/>
  <c r="CB25" i="12" s="1"/>
  <c r="CC25" i="12" s="1"/>
  <c r="CD25" i="12" s="1"/>
  <c r="CE25" i="12" s="1"/>
  <c r="CF25" i="12" s="1"/>
  <c r="CG25" i="12" s="1"/>
  <c r="CH25" i="12" s="1"/>
  <c r="CI25" i="12" s="1"/>
  <c r="CJ25" i="12" s="1"/>
  <c r="CK25" i="12" s="1"/>
  <c r="CL25" i="12" s="1"/>
  <c r="CM25" i="12" s="1"/>
  <c r="CN25" i="12" s="1"/>
  <c r="CO25" i="12" s="1"/>
  <c r="CP25" i="12" s="1"/>
  <c r="CQ25" i="12" s="1"/>
  <c r="CR25" i="12" s="1"/>
  <c r="CS25" i="12" s="1"/>
  <c r="CT25" i="12" s="1"/>
  <c r="CU25" i="12" s="1"/>
  <c r="CV25" i="12" s="1"/>
  <c r="CW25" i="12" s="1"/>
  <c r="CX25" i="12" s="1"/>
  <c r="CY25" i="12" s="1"/>
  <c r="A25" i="12" s="1"/>
  <c r="BD25" i="12"/>
  <c r="BE25" i="12" s="1"/>
  <c r="BF25" i="12" s="1"/>
  <c r="BG25" i="12" s="1"/>
  <c r="BH25" i="12" s="1"/>
  <c r="BI25" i="12" s="1"/>
  <c r="BJ25" i="12" s="1"/>
  <c r="BK25" i="12" s="1"/>
  <c r="BL25" i="12" s="1"/>
  <c r="BM25" i="12" s="1"/>
  <c r="BN25" i="12" s="1"/>
  <c r="BO25" i="12" s="1"/>
  <c r="BP25" i="12" s="1"/>
  <c r="BQ25" i="12" s="1"/>
  <c r="BR25" i="12" s="1"/>
  <c r="BS25" i="12" s="1"/>
  <c r="BT25" i="12" s="1"/>
  <c r="BU25" i="12" s="1"/>
  <c r="BV25" i="12" s="1"/>
  <c r="BW25" i="12" s="1"/>
  <c r="BD24" i="12"/>
  <c r="BE24" i="12" s="1"/>
  <c r="BF24" i="12" s="1"/>
  <c r="BG24" i="12" s="1"/>
  <c r="BH24" i="12" s="1"/>
  <c r="BI24" i="12" s="1"/>
  <c r="BJ24" i="12" s="1"/>
  <c r="BK24" i="12" s="1"/>
  <c r="BL24" i="12" s="1"/>
  <c r="BM24" i="12" s="1"/>
  <c r="BN24" i="12" s="1"/>
  <c r="BO24" i="12" s="1"/>
  <c r="BP24" i="12" s="1"/>
  <c r="BQ24" i="12" s="1"/>
  <c r="BR24" i="12" s="1"/>
  <c r="BS24" i="12" s="1"/>
  <c r="BT24" i="12" s="1"/>
  <c r="BU24" i="12" s="1"/>
  <c r="BV24" i="12" s="1"/>
  <c r="BW24" i="12" s="1"/>
  <c r="BX24" i="12" s="1"/>
  <c r="BY24" i="12" s="1"/>
  <c r="BZ24" i="12" s="1"/>
  <c r="CA24" i="12" s="1"/>
  <c r="CB24" i="12" s="1"/>
  <c r="CC24" i="12" s="1"/>
  <c r="CD24" i="12" s="1"/>
  <c r="CE24" i="12" s="1"/>
  <c r="CF24" i="12" s="1"/>
  <c r="CG24" i="12" s="1"/>
  <c r="CH24" i="12" s="1"/>
  <c r="CI24" i="12" s="1"/>
  <c r="CJ24" i="12" s="1"/>
  <c r="CK24" i="12" s="1"/>
  <c r="CL24" i="12" s="1"/>
  <c r="CM24" i="12" s="1"/>
  <c r="CN24" i="12" s="1"/>
  <c r="CO24" i="12" s="1"/>
  <c r="CP24" i="12" s="1"/>
  <c r="CQ24" i="12" s="1"/>
  <c r="CR24" i="12" s="1"/>
  <c r="CS24" i="12" s="1"/>
  <c r="CT24" i="12" s="1"/>
  <c r="CU24" i="12" s="1"/>
  <c r="CV24" i="12" s="1"/>
  <c r="CW24" i="12" s="1"/>
  <c r="CX24" i="12" s="1"/>
  <c r="CY24" i="12" s="1"/>
  <c r="A24" i="12" s="1"/>
  <c r="BT23" i="12"/>
  <c r="BU23" i="12" s="1"/>
  <c r="BV23" i="12" s="1"/>
  <c r="BW23" i="12" s="1"/>
  <c r="BX23" i="12" s="1"/>
  <c r="BY23" i="12" s="1"/>
  <c r="BZ23" i="12" s="1"/>
  <c r="CA23" i="12" s="1"/>
  <c r="CB23" i="12" s="1"/>
  <c r="CC23" i="12" s="1"/>
  <c r="CD23" i="12" s="1"/>
  <c r="CE23" i="12" s="1"/>
  <c r="CF23" i="12" s="1"/>
  <c r="CG23" i="12" s="1"/>
  <c r="CH23" i="12" s="1"/>
  <c r="CI23" i="12" s="1"/>
  <c r="CJ23" i="12" s="1"/>
  <c r="CK23" i="12" s="1"/>
  <c r="CL23" i="12" s="1"/>
  <c r="CM23" i="12" s="1"/>
  <c r="CN23" i="12" s="1"/>
  <c r="CO23" i="12" s="1"/>
  <c r="CP23" i="12" s="1"/>
  <c r="CQ23" i="12" s="1"/>
  <c r="CR23" i="12" s="1"/>
  <c r="CS23" i="12" s="1"/>
  <c r="CT23" i="12" s="1"/>
  <c r="CU23" i="12" s="1"/>
  <c r="CV23" i="12" s="1"/>
  <c r="CW23" i="12" s="1"/>
  <c r="CX23" i="12" s="1"/>
  <c r="CY23" i="12" s="1"/>
  <c r="A23" i="12" s="1"/>
  <c r="BI23" i="12"/>
  <c r="BJ23" i="12" s="1"/>
  <c r="BK23" i="12" s="1"/>
  <c r="BL23" i="12" s="1"/>
  <c r="BM23" i="12" s="1"/>
  <c r="BN23" i="12" s="1"/>
  <c r="BO23" i="12" s="1"/>
  <c r="BP23" i="12" s="1"/>
  <c r="BQ23" i="12" s="1"/>
  <c r="BR23" i="12" s="1"/>
  <c r="BS23" i="12" s="1"/>
  <c r="BD23" i="12"/>
  <c r="BE23" i="12" s="1"/>
  <c r="BF23" i="12" s="1"/>
  <c r="BG23" i="12" s="1"/>
  <c r="BH23" i="12" s="1"/>
  <c r="BH22" i="12"/>
  <c r="BI22" i="12" s="1"/>
  <c r="BJ22" i="12" s="1"/>
  <c r="BK22" i="12" s="1"/>
  <c r="BL22" i="12" s="1"/>
  <c r="BM22" i="12" s="1"/>
  <c r="BN22" i="12" s="1"/>
  <c r="BO22" i="12" s="1"/>
  <c r="BP22" i="12" s="1"/>
  <c r="BQ22" i="12" s="1"/>
  <c r="BR22" i="12" s="1"/>
  <c r="BS22" i="12" s="1"/>
  <c r="BT22" i="12" s="1"/>
  <c r="BU22" i="12" s="1"/>
  <c r="BV22" i="12" s="1"/>
  <c r="BW22" i="12" s="1"/>
  <c r="BX22" i="12" s="1"/>
  <c r="BY22" i="12" s="1"/>
  <c r="BZ22" i="12" s="1"/>
  <c r="CA22" i="12" s="1"/>
  <c r="CB22" i="12" s="1"/>
  <c r="CC22" i="12" s="1"/>
  <c r="CD22" i="12" s="1"/>
  <c r="CE22" i="12" s="1"/>
  <c r="CF22" i="12" s="1"/>
  <c r="CG22" i="12" s="1"/>
  <c r="CH22" i="12" s="1"/>
  <c r="CI22" i="12" s="1"/>
  <c r="CJ22" i="12" s="1"/>
  <c r="CK22" i="12" s="1"/>
  <c r="CL22" i="12" s="1"/>
  <c r="CM22" i="12" s="1"/>
  <c r="CN22" i="12" s="1"/>
  <c r="CO22" i="12" s="1"/>
  <c r="CP22" i="12" s="1"/>
  <c r="CQ22" i="12" s="1"/>
  <c r="CR22" i="12" s="1"/>
  <c r="CS22" i="12" s="1"/>
  <c r="CT22" i="12" s="1"/>
  <c r="CU22" i="12" s="1"/>
  <c r="CV22" i="12" s="1"/>
  <c r="CW22" i="12" s="1"/>
  <c r="CX22" i="12" s="1"/>
  <c r="CY22" i="12" s="1"/>
  <c r="A22" i="12" s="1"/>
  <c r="BD22" i="12"/>
  <c r="BE22" i="12" s="1"/>
  <c r="BF22" i="12" s="1"/>
  <c r="BG22" i="12" s="1"/>
  <c r="BD21" i="12"/>
  <c r="BE21" i="12" s="1"/>
  <c r="BF21" i="12" s="1"/>
  <c r="BG21" i="12" s="1"/>
  <c r="BH21" i="12" s="1"/>
  <c r="BI21" i="12" s="1"/>
  <c r="BJ21" i="12" s="1"/>
  <c r="BK21" i="12" s="1"/>
  <c r="BL21" i="12" s="1"/>
  <c r="BM21" i="12" s="1"/>
  <c r="BN21" i="12" s="1"/>
  <c r="BO21" i="12" s="1"/>
  <c r="BP21" i="12" s="1"/>
  <c r="BQ21" i="12" s="1"/>
  <c r="BR21" i="12" s="1"/>
  <c r="BS21" i="12" s="1"/>
  <c r="BT21" i="12" s="1"/>
  <c r="BU21" i="12" s="1"/>
  <c r="BV21" i="12" s="1"/>
  <c r="BW21" i="12" s="1"/>
  <c r="BX21" i="12" s="1"/>
  <c r="BY21" i="12" s="1"/>
  <c r="BZ21" i="12" s="1"/>
  <c r="CA21" i="12" s="1"/>
  <c r="CB21" i="12" s="1"/>
  <c r="CC21" i="12" s="1"/>
  <c r="CD21" i="12" s="1"/>
  <c r="CE21" i="12" s="1"/>
  <c r="CF21" i="12" s="1"/>
  <c r="CG21" i="12" s="1"/>
  <c r="CH21" i="12" s="1"/>
  <c r="CI21" i="12" s="1"/>
  <c r="CJ21" i="12" s="1"/>
  <c r="CK21" i="12" s="1"/>
  <c r="CL21" i="12" s="1"/>
  <c r="CM21" i="12" s="1"/>
  <c r="CN21" i="12" s="1"/>
  <c r="CO21" i="12" s="1"/>
  <c r="CP21" i="12" s="1"/>
  <c r="CQ21" i="12" s="1"/>
  <c r="CR21" i="12" s="1"/>
  <c r="CS21" i="12" s="1"/>
  <c r="CT21" i="12" s="1"/>
  <c r="CU21" i="12" s="1"/>
  <c r="CV21" i="12" s="1"/>
  <c r="CW21" i="12" s="1"/>
  <c r="CX21" i="12" s="1"/>
  <c r="CY21" i="12" s="1"/>
  <c r="A21" i="12" s="1"/>
  <c r="BG20" i="12"/>
  <c r="BH20" i="12" s="1"/>
  <c r="BI20" i="12" s="1"/>
  <c r="BJ20" i="12" s="1"/>
  <c r="BK20" i="12" s="1"/>
  <c r="BL20" i="12" s="1"/>
  <c r="BM20" i="12" s="1"/>
  <c r="BN20" i="12" s="1"/>
  <c r="BO20" i="12" s="1"/>
  <c r="BP20" i="12" s="1"/>
  <c r="BQ20" i="12" s="1"/>
  <c r="BR20" i="12" s="1"/>
  <c r="BS20" i="12" s="1"/>
  <c r="BT20" i="12" s="1"/>
  <c r="BU20" i="12" s="1"/>
  <c r="BV20" i="12" s="1"/>
  <c r="BW20" i="12" s="1"/>
  <c r="BX20" i="12" s="1"/>
  <c r="BY20" i="12" s="1"/>
  <c r="BZ20" i="12" s="1"/>
  <c r="CA20" i="12" s="1"/>
  <c r="CB20" i="12" s="1"/>
  <c r="CC20" i="12" s="1"/>
  <c r="CD20" i="12" s="1"/>
  <c r="CE20" i="12" s="1"/>
  <c r="CF20" i="12" s="1"/>
  <c r="CG20" i="12" s="1"/>
  <c r="CH20" i="12" s="1"/>
  <c r="CI20" i="12" s="1"/>
  <c r="CJ20" i="12" s="1"/>
  <c r="CK20" i="12" s="1"/>
  <c r="CL20" i="12" s="1"/>
  <c r="CM20" i="12" s="1"/>
  <c r="CN20" i="12" s="1"/>
  <c r="CO20" i="12" s="1"/>
  <c r="CP20" i="12" s="1"/>
  <c r="CQ20" i="12" s="1"/>
  <c r="CR20" i="12" s="1"/>
  <c r="CS20" i="12" s="1"/>
  <c r="CT20" i="12" s="1"/>
  <c r="CU20" i="12" s="1"/>
  <c r="CV20" i="12" s="1"/>
  <c r="CW20" i="12" s="1"/>
  <c r="CX20" i="12" s="1"/>
  <c r="CY20" i="12" s="1"/>
  <c r="A20" i="12" s="1"/>
  <c r="BD20" i="12"/>
  <c r="BE20" i="12" s="1"/>
  <c r="BF20" i="12" s="1"/>
  <c r="BE19" i="12"/>
  <c r="BF19" i="12" s="1"/>
  <c r="BG19" i="12" s="1"/>
  <c r="BH19" i="12" s="1"/>
  <c r="BI19" i="12" s="1"/>
  <c r="BJ19" i="12" s="1"/>
  <c r="BK19" i="12" s="1"/>
  <c r="BL19" i="12" s="1"/>
  <c r="BM19" i="12" s="1"/>
  <c r="BN19" i="12" s="1"/>
  <c r="BO19" i="12" s="1"/>
  <c r="BP19" i="12" s="1"/>
  <c r="BQ19" i="12" s="1"/>
  <c r="BR19" i="12" s="1"/>
  <c r="BS19" i="12" s="1"/>
  <c r="BT19" i="12" s="1"/>
  <c r="BU19" i="12" s="1"/>
  <c r="BV19" i="12" s="1"/>
  <c r="BW19" i="12" s="1"/>
  <c r="BX19" i="12" s="1"/>
  <c r="BY19" i="12" s="1"/>
  <c r="BZ19" i="12" s="1"/>
  <c r="CA19" i="12" s="1"/>
  <c r="CB19" i="12" s="1"/>
  <c r="CC19" i="12" s="1"/>
  <c r="CD19" i="12" s="1"/>
  <c r="CE19" i="12" s="1"/>
  <c r="CF19" i="12" s="1"/>
  <c r="CG19" i="12" s="1"/>
  <c r="CH19" i="12" s="1"/>
  <c r="CI19" i="12" s="1"/>
  <c r="CJ19" i="12" s="1"/>
  <c r="CK19" i="12" s="1"/>
  <c r="CL19" i="12" s="1"/>
  <c r="CM19" i="12" s="1"/>
  <c r="CN19" i="12" s="1"/>
  <c r="CO19" i="12" s="1"/>
  <c r="CP19" i="12" s="1"/>
  <c r="CQ19" i="12" s="1"/>
  <c r="CR19" i="12" s="1"/>
  <c r="CS19" i="12" s="1"/>
  <c r="CT19" i="12" s="1"/>
  <c r="CU19" i="12" s="1"/>
  <c r="CV19" i="12" s="1"/>
  <c r="CW19" i="12" s="1"/>
  <c r="CX19" i="12" s="1"/>
  <c r="CY19" i="12" s="1"/>
  <c r="A19" i="12" s="1"/>
  <c r="BD19" i="12"/>
  <c r="BE18" i="12"/>
  <c r="BF18" i="12" s="1"/>
  <c r="BG18" i="12" s="1"/>
  <c r="BH18" i="12" s="1"/>
  <c r="BI18" i="12" s="1"/>
  <c r="BJ18" i="12" s="1"/>
  <c r="BK18" i="12" s="1"/>
  <c r="BL18" i="12" s="1"/>
  <c r="BM18" i="12" s="1"/>
  <c r="BN18" i="12" s="1"/>
  <c r="BO18" i="12" s="1"/>
  <c r="BP18" i="12" s="1"/>
  <c r="BQ18" i="12" s="1"/>
  <c r="BR18" i="12" s="1"/>
  <c r="BS18" i="12" s="1"/>
  <c r="BT18" i="12" s="1"/>
  <c r="BU18" i="12" s="1"/>
  <c r="BV18" i="12" s="1"/>
  <c r="BW18" i="12" s="1"/>
  <c r="BX18" i="12" s="1"/>
  <c r="BY18" i="12" s="1"/>
  <c r="BZ18" i="12" s="1"/>
  <c r="CA18" i="12" s="1"/>
  <c r="CB18" i="12" s="1"/>
  <c r="CC18" i="12" s="1"/>
  <c r="CD18" i="12" s="1"/>
  <c r="CE18" i="12" s="1"/>
  <c r="CF18" i="12" s="1"/>
  <c r="CG18" i="12" s="1"/>
  <c r="CH18" i="12" s="1"/>
  <c r="CI18" i="12" s="1"/>
  <c r="CJ18" i="12" s="1"/>
  <c r="CK18" i="12" s="1"/>
  <c r="CL18" i="12" s="1"/>
  <c r="CM18" i="12" s="1"/>
  <c r="CN18" i="12" s="1"/>
  <c r="CO18" i="12" s="1"/>
  <c r="CP18" i="12" s="1"/>
  <c r="CQ18" i="12" s="1"/>
  <c r="CR18" i="12" s="1"/>
  <c r="CS18" i="12" s="1"/>
  <c r="CT18" i="12" s="1"/>
  <c r="CU18" i="12" s="1"/>
  <c r="CV18" i="12" s="1"/>
  <c r="CW18" i="12" s="1"/>
  <c r="CX18" i="12" s="1"/>
  <c r="CY18" i="12" s="1"/>
  <c r="A18" i="12" s="1"/>
  <c r="BD18" i="12"/>
  <c r="BE17" i="12"/>
  <c r="BF17" i="12" s="1"/>
  <c r="BG17" i="12" s="1"/>
  <c r="BH17" i="12" s="1"/>
  <c r="BI17" i="12" s="1"/>
  <c r="BJ17" i="12" s="1"/>
  <c r="BK17" i="12" s="1"/>
  <c r="BL17" i="12" s="1"/>
  <c r="BM17" i="12" s="1"/>
  <c r="BN17" i="12" s="1"/>
  <c r="BO17" i="12" s="1"/>
  <c r="BP17" i="12" s="1"/>
  <c r="BQ17" i="12" s="1"/>
  <c r="BR17" i="12" s="1"/>
  <c r="BS17" i="12" s="1"/>
  <c r="BT17" i="12" s="1"/>
  <c r="BU17" i="12" s="1"/>
  <c r="BV17" i="12" s="1"/>
  <c r="BW17" i="12" s="1"/>
  <c r="BX17" i="12" s="1"/>
  <c r="BY17" i="12" s="1"/>
  <c r="BZ17" i="12" s="1"/>
  <c r="CA17" i="12" s="1"/>
  <c r="CB17" i="12" s="1"/>
  <c r="CC17" i="12" s="1"/>
  <c r="CD17" i="12" s="1"/>
  <c r="CE17" i="12" s="1"/>
  <c r="CF17" i="12" s="1"/>
  <c r="CG17" i="12" s="1"/>
  <c r="CH17" i="12" s="1"/>
  <c r="CI17" i="12" s="1"/>
  <c r="CJ17" i="12" s="1"/>
  <c r="CK17" i="12" s="1"/>
  <c r="CL17" i="12" s="1"/>
  <c r="CM17" i="12" s="1"/>
  <c r="CN17" i="12" s="1"/>
  <c r="CO17" i="12" s="1"/>
  <c r="CP17" i="12" s="1"/>
  <c r="CQ17" i="12" s="1"/>
  <c r="CR17" i="12" s="1"/>
  <c r="CS17" i="12" s="1"/>
  <c r="CT17" i="12" s="1"/>
  <c r="CU17" i="12" s="1"/>
  <c r="CV17" i="12" s="1"/>
  <c r="CW17" i="12" s="1"/>
  <c r="CX17" i="12" s="1"/>
  <c r="CY17" i="12" s="1"/>
  <c r="A17" i="12" s="1"/>
  <c r="BD17" i="12"/>
  <c r="BE16" i="12"/>
  <c r="BF16" i="12" s="1"/>
  <c r="BG16" i="12" s="1"/>
  <c r="BH16" i="12" s="1"/>
  <c r="BI16" i="12" s="1"/>
  <c r="BJ16" i="12" s="1"/>
  <c r="BK16" i="12" s="1"/>
  <c r="BL16" i="12" s="1"/>
  <c r="BM16" i="12" s="1"/>
  <c r="BN16" i="12" s="1"/>
  <c r="BO16" i="12" s="1"/>
  <c r="BP16" i="12" s="1"/>
  <c r="BQ16" i="12" s="1"/>
  <c r="BR16" i="12" s="1"/>
  <c r="BS16" i="12" s="1"/>
  <c r="BT16" i="12" s="1"/>
  <c r="BU16" i="12" s="1"/>
  <c r="BV16" i="12" s="1"/>
  <c r="BW16" i="12" s="1"/>
  <c r="BX16" i="12" s="1"/>
  <c r="BY16" i="12" s="1"/>
  <c r="BZ16" i="12" s="1"/>
  <c r="CA16" i="12" s="1"/>
  <c r="CB16" i="12" s="1"/>
  <c r="CC16" i="12" s="1"/>
  <c r="CD16" i="12" s="1"/>
  <c r="CE16" i="12" s="1"/>
  <c r="CF16" i="12" s="1"/>
  <c r="CG16" i="12" s="1"/>
  <c r="CH16" i="12" s="1"/>
  <c r="CI16" i="12" s="1"/>
  <c r="CJ16" i="12" s="1"/>
  <c r="CK16" i="12" s="1"/>
  <c r="CL16" i="12" s="1"/>
  <c r="CM16" i="12" s="1"/>
  <c r="CN16" i="12" s="1"/>
  <c r="CO16" i="12" s="1"/>
  <c r="CP16" i="12" s="1"/>
  <c r="CQ16" i="12" s="1"/>
  <c r="CR16" i="12" s="1"/>
  <c r="CS16" i="12" s="1"/>
  <c r="CT16" i="12" s="1"/>
  <c r="CU16" i="12" s="1"/>
  <c r="CV16" i="12" s="1"/>
  <c r="CW16" i="12" s="1"/>
  <c r="CX16" i="12" s="1"/>
  <c r="CY16" i="12" s="1"/>
  <c r="A16" i="12" s="1"/>
  <c r="BD16" i="12"/>
  <c r="BH15" i="12"/>
  <c r="BI15" i="12" s="1"/>
  <c r="BJ15" i="12" s="1"/>
  <c r="BK15" i="12" s="1"/>
  <c r="BL15" i="12" s="1"/>
  <c r="BM15" i="12" s="1"/>
  <c r="BN15" i="12" s="1"/>
  <c r="BO15" i="12" s="1"/>
  <c r="BP15" i="12" s="1"/>
  <c r="BQ15" i="12" s="1"/>
  <c r="BR15" i="12" s="1"/>
  <c r="BS15" i="12" s="1"/>
  <c r="BT15" i="12" s="1"/>
  <c r="BU15" i="12" s="1"/>
  <c r="BV15" i="12" s="1"/>
  <c r="BW15" i="12" s="1"/>
  <c r="BX15" i="12" s="1"/>
  <c r="BY15" i="12" s="1"/>
  <c r="BZ15" i="12" s="1"/>
  <c r="CA15" i="12" s="1"/>
  <c r="CB15" i="12" s="1"/>
  <c r="CC15" i="12" s="1"/>
  <c r="CD15" i="12" s="1"/>
  <c r="CE15" i="12" s="1"/>
  <c r="CF15" i="12" s="1"/>
  <c r="CG15" i="12" s="1"/>
  <c r="CH15" i="12" s="1"/>
  <c r="CI15" i="12" s="1"/>
  <c r="CJ15" i="12" s="1"/>
  <c r="CK15" i="12" s="1"/>
  <c r="CL15" i="12" s="1"/>
  <c r="CM15" i="12" s="1"/>
  <c r="CN15" i="12" s="1"/>
  <c r="CO15" i="12" s="1"/>
  <c r="CP15" i="12" s="1"/>
  <c r="CQ15" i="12" s="1"/>
  <c r="CR15" i="12" s="1"/>
  <c r="CS15" i="12" s="1"/>
  <c r="CT15" i="12" s="1"/>
  <c r="CU15" i="12" s="1"/>
  <c r="CV15" i="12" s="1"/>
  <c r="CW15" i="12" s="1"/>
  <c r="CX15" i="12" s="1"/>
  <c r="CY15" i="12" s="1"/>
  <c r="A15" i="12" s="1"/>
  <c r="BE15" i="12"/>
  <c r="BF15" i="12" s="1"/>
  <c r="BG15" i="12" s="1"/>
  <c r="BD15" i="12"/>
  <c r="BE14" i="12"/>
  <c r="BF14" i="12" s="1"/>
  <c r="BG14" i="12" s="1"/>
  <c r="BH14" i="12" s="1"/>
  <c r="BI14" i="12" s="1"/>
  <c r="BJ14" i="12" s="1"/>
  <c r="BK14" i="12" s="1"/>
  <c r="BL14" i="12" s="1"/>
  <c r="BM14" i="12" s="1"/>
  <c r="BN14" i="12" s="1"/>
  <c r="BO14" i="12" s="1"/>
  <c r="BP14" i="12" s="1"/>
  <c r="BQ14" i="12" s="1"/>
  <c r="BR14" i="12" s="1"/>
  <c r="BS14" i="12" s="1"/>
  <c r="BT14" i="12" s="1"/>
  <c r="BU14" i="12" s="1"/>
  <c r="BV14" i="12" s="1"/>
  <c r="BW14" i="12" s="1"/>
  <c r="BX14" i="12" s="1"/>
  <c r="BY14" i="12" s="1"/>
  <c r="BZ14" i="12" s="1"/>
  <c r="CA14" i="12" s="1"/>
  <c r="CB14" i="12" s="1"/>
  <c r="CC14" i="12" s="1"/>
  <c r="CD14" i="12" s="1"/>
  <c r="CE14" i="12" s="1"/>
  <c r="CF14" i="12" s="1"/>
  <c r="CG14" i="12" s="1"/>
  <c r="CH14" i="12" s="1"/>
  <c r="CI14" i="12" s="1"/>
  <c r="CJ14" i="12" s="1"/>
  <c r="CK14" i="12" s="1"/>
  <c r="CL14" i="12" s="1"/>
  <c r="CM14" i="12" s="1"/>
  <c r="CN14" i="12" s="1"/>
  <c r="CO14" i="12" s="1"/>
  <c r="CP14" i="12" s="1"/>
  <c r="CQ14" i="12" s="1"/>
  <c r="CR14" i="12" s="1"/>
  <c r="CS14" i="12" s="1"/>
  <c r="CT14" i="12" s="1"/>
  <c r="CU14" i="12" s="1"/>
  <c r="CV14" i="12" s="1"/>
  <c r="CW14" i="12" s="1"/>
  <c r="CX14" i="12" s="1"/>
  <c r="CY14" i="12" s="1"/>
  <c r="A14" i="12" s="1"/>
  <c r="BD14" i="12"/>
  <c r="BE13" i="12"/>
  <c r="BF13" i="12" s="1"/>
  <c r="BG13" i="12" s="1"/>
  <c r="BH13" i="12" s="1"/>
  <c r="BI13" i="12" s="1"/>
  <c r="BJ13" i="12" s="1"/>
  <c r="BK13" i="12" s="1"/>
  <c r="BL13" i="12" s="1"/>
  <c r="BM13" i="12" s="1"/>
  <c r="BN13" i="12" s="1"/>
  <c r="BO13" i="12" s="1"/>
  <c r="BP13" i="12" s="1"/>
  <c r="BQ13" i="12" s="1"/>
  <c r="BR13" i="12" s="1"/>
  <c r="BS13" i="12" s="1"/>
  <c r="BT13" i="12" s="1"/>
  <c r="BU13" i="12" s="1"/>
  <c r="BV13" i="12" s="1"/>
  <c r="BW13" i="12" s="1"/>
  <c r="BX13" i="12" s="1"/>
  <c r="BY13" i="12" s="1"/>
  <c r="BZ13" i="12" s="1"/>
  <c r="CA13" i="12" s="1"/>
  <c r="CB13" i="12" s="1"/>
  <c r="CC13" i="12" s="1"/>
  <c r="CD13" i="12" s="1"/>
  <c r="CE13" i="12" s="1"/>
  <c r="CF13" i="12" s="1"/>
  <c r="CG13" i="12" s="1"/>
  <c r="CH13" i="12" s="1"/>
  <c r="CI13" i="12" s="1"/>
  <c r="CJ13" i="12" s="1"/>
  <c r="CK13" i="12" s="1"/>
  <c r="CL13" i="12" s="1"/>
  <c r="CM13" i="12" s="1"/>
  <c r="CN13" i="12" s="1"/>
  <c r="CO13" i="12" s="1"/>
  <c r="CP13" i="12" s="1"/>
  <c r="CQ13" i="12" s="1"/>
  <c r="CR13" i="12" s="1"/>
  <c r="CS13" i="12" s="1"/>
  <c r="CT13" i="12" s="1"/>
  <c r="CU13" i="12" s="1"/>
  <c r="CV13" i="12" s="1"/>
  <c r="CW13" i="12" s="1"/>
  <c r="CX13" i="12" s="1"/>
  <c r="CY13" i="12" s="1"/>
  <c r="A13" i="12" s="1"/>
  <c r="BD13" i="12"/>
  <c r="BE12" i="12"/>
  <c r="BF12" i="12" s="1"/>
  <c r="BG12" i="12" s="1"/>
  <c r="BH12" i="12" s="1"/>
  <c r="BI12" i="12" s="1"/>
  <c r="BJ12" i="12" s="1"/>
  <c r="BK12" i="12" s="1"/>
  <c r="BL12" i="12" s="1"/>
  <c r="BM12" i="12" s="1"/>
  <c r="BN12" i="12" s="1"/>
  <c r="BO12" i="12" s="1"/>
  <c r="BP12" i="12" s="1"/>
  <c r="BQ12" i="12" s="1"/>
  <c r="BR12" i="12" s="1"/>
  <c r="BS12" i="12" s="1"/>
  <c r="BT12" i="12" s="1"/>
  <c r="BU12" i="12" s="1"/>
  <c r="BV12" i="12" s="1"/>
  <c r="BW12" i="12" s="1"/>
  <c r="BX12" i="12" s="1"/>
  <c r="BY12" i="12" s="1"/>
  <c r="BZ12" i="12" s="1"/>
  <c r="CA12" i="12" s="1"/>
  <c r="CB12" i="12" s="1"/>
  <c r="CC12" i="12" s="1"/>
  <c r="CD12" i="12" s="1"/>
  <c r="CE12" i="12" s="1"/>
  <c r="CF12" i="12" s="1"/>
  <c r="CG12" i="12" s="1"/>
  <c r="CH12" i="12" s="1"/>
  <c r="CI12" i="12" s="1"/>
  <c r="CJ12" i="12" s="1"/>
  <c r="CK12" i="12" s="1"/>
  <c r="CL12" i="12" s="1"/>
  <c r="CM12" i="12" s="1"/>
  <c r="CN12" i="12" s="1"/>
  <c r="CO12" i="12" s="1"/>
  <c r="CP12" i="12" s="1"/>
  <c r="CQ12" i="12" s="1"/>
  <c r="CR12" i="12" s="1"/>
  <c r="CS12" i="12" s="1"/>
  <c r="CT12" i="12" s="1"/>
  <c r="CU12" i="12" s="1"/>
  <c r="CV12" i="12" s="1"/>
  <c r="CW12" i="12" s="1"/>
  <c r="CX12" i="12" s="1"/>
  <c r="CY12" i="12" s="1"/>
  <c r="A12" i="12" s="1"/>
  <c r="BD12" i="12"/>
  <c r="BH11" i="12"/>
  <c r="BI11" i="12" s="1"/>
  <c r="BJ11" i="12" s="1"/>
  <c r="BK11" i="12" s="1"/>
  <c r="BL11" i="12" s="1"/>
  <c r="BM11" i="12" s="1"/>
  <c r="BN11" i="12" s="1"/>
  <c r="BO11" i="12" s="1"/>
  <c r="BP11" i="12" s="1"/>
  <c r="BQ11" i="12" s="1"/>
  <c r="BR11" i="12" s="1"/>
  <c r="BS11" i="12" s="1"/>
  <c r="BT11" i="12" s="1"/>
  <c r="BU11" i="12" s="1"/>
  <c r="BV11" i="12" s="1"/>
  <c r="BW11" i="12" s="1"/>
  <c r="BX11" i="12" s="1"/>
  <c r="BY11" i="12" s="1"/>
  <c r="BZ11" i="12" s="1"/>
  <c r="CA11" i="12" s="1"/>
  <c r="CB11" i="12" s="1"/>
  <c r="CC11" i="12" s="1"/>
  <c r="CD11" i="12" s="1"/>
  <c r="CE11" i="12" s="1"/>
  <c r="CF11" i="12" s="1"/>
  <c r="CG11" i="12" s="1"/>
  <c r="CH11" i="12" s="1"/>
  <c r="CI11" i="12" s="1"/>
  <c r="CJ11" i="12" s="1"/>
  <c r="CK11" i="12" s="1"/>
  <c r="CL11" i="12" s="1"/>
  <c r="CM11" i="12" s="1"/>
  <c r="CN11" i="12" s="1"/>
  <c r="CO11" i="12" s="1"/>
  <c r="CP11" i="12" s="1"/>
  <c r="CQ11" i="12" s="1"/>
  <c r="CR11" i="12" s="1"/>
  <c r="CS11" i="12" s="1"/>
  <c r="CT11" i="12" s="1"/>
  <c r="CU11" i="12" s="1"/>
  <c r="CV11" i="12" s="1"/>
  <c r="CW11" i="12" s="1"/>
  <c r="CX11" i="12" s="1"/>
  <c r="CY11" i="12" s="1"/>
  <c r="A11" i="12" s="1"/>
  <c r="BE11" i="12"/>
  <c r="BF11" i="12" s="1"/>
  <c r="BG11" i="12" s="1"/>
  <c r="BD11" i="12"/>
  <c r="BE10" i="12"/>
  <c r="BF10" i="12" s="1"/>
  <c r="BG10" i="12" s="1"/>
  <c r="BH10" i="12" s="1"/>
  <c r="BI10" i="12" s="1"/>
  <c r="BJ10" i="12" s="1"/>
  <c r="BK10" i="12" s="1"/>
  <c r="BL10" i="12" s="1"/>
  <c r="BM10" i="12" s="1"/>
  <c r="BN10" i="12" s="1"/>
  <c r="BO10" i="12" s="1"/>
  <c r="BP10" i="12" s="1"/>
  <c r="BQ10" i="12" s="1"/>
  <c r="BR10" i="12" s="1"/>
  <c r="BS10" i="12" s="1"/>
  <c r="BT10" i="12" s="1"/>
  <c r="BU10" i="12" s="1"/>
  <c r="BV10" i="12" s="1"/>
  <c r="BW10" i="12" s="1"/>
  <c r="BX10" i="12" s="1"/>
  <c r="BY10" i="12" s="1"/>
  <c r="BZ10" i="12" s="1"/>
  <c r="CA10" i="12" s="1"/>
  <c r="CB10" i="12" s="1"/>
  <c r="CC10" i="12" s="1"/>
  <c r="CD10" i="12" s="1"/>
  <c r="CE10" i="12" s="1"/>
  <c r="CF10" i="12" s="1"/>
  <c r="CG10" i="12" s="1"/>
  <c r="CH10" i="12" s="1"/>
  <c r="CI10" i="12" s="1"/>
  <c r="CJ10" i="12" s="1"/>
  <c r="CK10" i="12" s="1"/>
  <c r="CL10" i="12" s="1"/>
  <c r="CM10" i="12" s="1"/>
  <c r="CN10" i="12" s="1"/>
  <c r="CO10" i="12" s="1"/>
  <c r="CP10" i="12" s="1"/>
  <c r="CQ10" i="12" s="1"/>
  <c r="CR10" i="12" s="1"/>
  <c r="CS10" i="12" s="1"/>
  <c r="CT10" i="12" s="1"/>
  <c r="CU10" i="12" s="1"/>
  <c r="CV10" i="12" s="1"/>
  <c r="CW10" i="12" s="1"/>
  <c r="CX10" i="12" s="1"/>
  <c r="CY10" i="12" s="1"/>
  <c r="A10" i="12" s="1"/>
  <c r="BD10" i="12"/>
  <c r="BE9" i="12"/>
  <c r="BF9" i="12" s="1"/>
  <c r="BG9" i="12" s="1"/>
  <c r="BH9" i="12" s="1"/>
  <c r="BI9" i="12" s="1"/>
  <c r="BJ9" i="12" s="1"/>
  <c r="BK9" i="12" s="1"/>
  <c r="BL9" i="12" s="1"/>
  <c r="BM9" i="12" s="1"/>
  <c r="BN9" i="12" s="1"/>
  <c r="BO9" i="12" s="1"/>
  <c r="BP9" i="12" s="1"/>
  <c r="BQ9" i="12" s="1"/>
  <c r="BR9" i="12" s="1"/>
  <c r="BS9" i="12" s="1"/>
  <c r="BT9" i="12" s="1"/>
  <c r="BU9" i="12" s="1"/>
  <c r="BV9" i="12" s="1"/>
  <c r="BW9" i="12" s="1"/>
  <c r="BX9" i="12" s="1"/>
  <c r="BY9" i="12" s="1"/>
  <c r="BZ9" i="12" s="1"/>
  <c r="CA9" i="12" s="1"/>
  <c r="CB9" i="12" s="1"/>
  <c r="CC9" i="12" s="1"/>
  <c r="CD9" i="12" s="1"/>
  <c r="CE9" i="12" s="1"/>
  <c r="CF9" i="12" s="1"/>
  <c r="CG9" i="12" s="1"/>
  <c r="CH9" i="12" s="1"/>
  <c r="CI9" i="12" s="1"/>
  <c r="CJ9" i="12" s="1"/>
  <c r="CK9" i="12" s="1"/>
  <c r="CL9" i="12" s="1"/>
  <c r="CM9" i="12" s="1"/>
  <c r="CN9" i="12" s="1"/>
  <c r="CO9" i="12" s="1"/>
  <c r="CP9" i="12" s="1"/>
  <c r="CQ9" i="12" s="1"/>
  <c r="CR9" i="12" s="1"/>
  <c r="CS9" i="12" s="1"/>
  <c r="CT9" i="12" s="1"/>
  <c r="CU9" i="12" s="1"/>
  <c r="CV9" i="12" s="1"/>
  <c r="CW9" i="12" s="1"/>
  <c r="CX9" i="12" s="1"/>
  <c r="CY9" i="12" s="1"/>
  <c r="A9" i="12" s="1"/>
  <c r="BD9" i="12"/>
  <c r="BF8" i="12"/>
  <c r="BG8" i="12" s="1"/>
  <c r="BH8" i="12" s="1"/>
  <c r="BI8" i="12" s="1"/>
  <c r="BJ8" i="12" s="1"/>
  <c r="BK8" i="12" s="1"/>
  <c r="BL8" i="12" s="1"/>
  <c r="BM8" i="12" s="1"/>
  <c r="BN8" i="12" s="1"/>
  <c r="BO8" i="12" s="1"/>
  <c r="BP8" i="12" s="1"/>
  <c r="BQ8" i="12" s="1"/>
  <c r="BR8" i="12" s="1"/>
  <c r="BS8" i="12" s="1"/>
  <c r="BT8" i="12" s="1"/>
  <c r="BU8" i="12" s="1"/>
  <c r="BV8" i="12" s="1"/>
  <c r="BW8" i="12" s="1"/>
  <c r="BX8" i="12" s="1"/>
  <c r="BY8" i="12" s="1"/>
  <c r="BZ8" i="12" s="1"/>
  <c r="CA8" i="12" s="1"/>
  <c r="CB8" i="12" s="1"/>
  <c r="CC8" i="12" s="1"/>
  <c r="CD8" i="12" s="1"/>
  <c r="CE8" i="12" s="1"/>
  <c r="CF8" i="12" s="1"/>
  <c r="CG8" i="12" s="1"/>
  <c r="CH8" i="12" s="1"/>
  <c r="CI8" i="12" s="1"/>
  <c r="CJ8" i="12" s="1"/>
  <c r="CK8" i="12" s="1"/>
  <c r="CL8" i="12" s="1"/>
  <c r="CM8" i="12" s="1"/>
  <c r="CN8" i="12" s="1"/>
  <c r="CO8" i="12" s="1"/>
  <c r="CP8" i="12" s="1"/>
  <c r="CQ8" i="12" s="1"/>
  <c r="CR8" i="12" s="1"/>
  <c r="CS8" i="12" s="1"/>
  <c r="CT8" i="12" s="1"/>
  <c r="CU8" i="12" s="1"/>
  <c r="CV8" i="12" s="1"/>
  <c r="CW8" i="12" s="1"/>
  <c r="CX8" i="12" s="1"/>
  <c r="CY8" i="12" s="1"/>
  <c r="A8" i="12" s="1"/>
  <c r="BD8" i="12"/>
  <c r="BE8" i="12" s="1"/>
  <c r="BF7" i="12"/>
  <c r="BG7" i="12" s="1"/>
  <c r="BH7" i="12" s="1"/>
  <c r="BI7" i="12" s="1"/>
  <c r="BJ7" i="12" s="1"/>
  <c r="BK7" i="12" s="1"/>
  <c r="BL7" i="12" s="1"/>
  <c r="BM7" i="12" s="1"/>
  <c r="BN7" i="12" s="1"/>
  <c r="BO7" i="12" s="1"/>
  <c r="BP7" i="12" s="1"/>
  <c r="BQ7" i="12" s="1"/>
  <c r="BR7" i="12" s="1"/>
  <c r="BS7" i="12" s="1"/>
  <c r="BT7" i="12" s="1"/>
  <c r="BU7" i="12" s="1"/>
  <c r="BV7" i="12" s="1"/>
  <c r="BW7" i="12" s="1"/>
  <c r="BX7" i="12" s="1"/>
  <c r="BY7" i="12" s="1"/>
  <c r="BZ7" i="12" s="1"/>
  <c r="CA7" i="12" s="1"/>
  <c r="CB7" i="12" s="1"/>
  <c r="CC7" i="12" s="1"/>
  <c r="CD7" i="12" s="1"/>
  <c r="CE7" i="12" s="1"/>
  <c r="CF7" i="12" s="1"/>
  <c r="CG7" i="12" s="1"/>
  <c r="CH7" i="12" s="1"/>
  <c r="CI7" i="12" s="1"/>
  <c r="CJ7" i="12" s="1"/>
  <c r="CK7" i="12" s="1"/>
  <c r="CL7" i="12" s="1"/>
  <c r="CM7" i="12" s="1"/>
  <c r="CN7" i="12" s="1"/>
  <c r="CO7" i="12" s="1"/>
  <c r="CP7" i="12" s="1"/>
  <c r="CQ7" i="12" s="1"/>
  <c r="CR7" i="12" s="1"/>
  <c r="CS7" i="12" s="1"/>
  <c r="CT7" i="12" s="1"/>
  <c r="CU7" i="12" s="1"/>
  <c r="CV7" i="12" s="1"/>
  <c r="CW7" i="12" s="1"/>
  <c r="CX7" i="12" s="1"/>
  <c r="CY7" i="12" s="1"/>
  <c r="BD7" i="12"/>
  <c r="BE7" i="12" s="1"/>
  <c r="BD6" i="12"/>
  <c r="BE6" i="12" s="1"/>
  <c r="BF6" i="12" s="1"/>
  <c r="BG6" i="12" s="1"/>
  <c r="BH6" i="12" s="1"/>
  <c r="BI6" i="12" s="1"/>
  <c r="BJ6" i="12" s="1"/>
  <c r="BK6" i="12" s="1"/>
  <c r="BL6" i="12" s="1"/>
  <c r="BM6" i="12" s="1"/>
  <c r="BN6" i="12" s="1"/>
  <c r="BO6" i="12" s="1"/>
  <c r="BP6" i="12" s="1"/>
  <c r="BQ6" i="12" s="1"/>
  <c r="BR6" i="12" s="1"/>
  <c r="BS6" i="12" s="1"/>
  <c r="BT6" i="12" s="1"/>
  <c r="BU6" i="12" s="1"/>
  <c r="BV6" i="12" s="1"/>
  <c r="BW6" i="12" s="1"/>
  <c r="BX6" i="12" s="1"/>
  <c r="BY6" i="12" s="1"/>
  <c r="BZ6" i="12" s="1"/>
  <c r="CA6" i="12" s="1"/>
  <c r="CB6" i="12" s="1"/>
  <c r="CC6" i="12" s="1"/>
  <c r="CD6" i="12" s="1"/>
  <c r="CE6" i="12" s="1"/>
  <c r="CF6" i="12" s="1"/>
  <c r="CG6" i="12" s="1"/>
  <c r="CH6" i="12" s="1"/>
  <c r="CI6" i="12" s="1"/>
  <c r="CJ6" i="12" s="1"/>
  <c r="CK6" i="12" s="1"/>
  <c r="CL6" i="12" s="1"/>
  <c r="CM6" i="12" s="1"/>
  <c r="CN6" i="12" s="1"/>
  <c r="CO6" i="12" s="1"/>
  <c r="CP6" i="12" s="1"/>
  <c r="CQ6" i="12" s="1"/>
  <c r="CR6" i="12" s="1"/>
  <c r="CS6" i="12" s="1"/>
  <c r="CT6" i="12" s="1"/>
  <c r="CU6" i="12" s="1"/>
  <c r="CV6" i="12" s="1"/>
  <c r="CW6" i="12" s="1"/>
  <c r="CX6" i="12" s="1"/>
  <c r="CY6" i="12" s="1"/>
  <c r="BD5" i="12"/>
  <c r="BE5" i="12" s="1"/>
  <c r="BF5" i="12" s="1"/>
  <c r="BG5" i="12" s="1"/>
  <c r="BH5" i="12" s="1"/>
  <c r="BI5" i="12" s="1"/>
  <c r="BJ5" i="12" s="1"/>
  <c r="BK5" i="12" s="1"/>
  <c r="BL5" i="12" s="1"/>
  <c r="BM5" i="12" s="1"/>
  <c r="BN5" i="12" s="1"/>
  <c r="BO5" i="12" s="1"/>
  <c r="BP5" i="12" s="1"/>
  <c r="BQ5" i="12" s="1"/>
  <c r="BR5" i="12" s="1"/>
  <c r="BS5" i="12" s="1"/>
  <c r="BT5" i="12" s="1"/>
  <c r="BU5" i="12" s="1"/>
  <c r="BV5" i="12" s="1"/>
  <c r="BW5" i="12" s="1"/>
  <c r="BX5" i="12" s="1"/>
  <c r="BY5" i="12" s="1"/>
  <c r="BZ5" i="12" s="1"/>
  <c r="CA5" i="12" s="1"/>
  <c r="CB5" i="12" s="1"/>
  <c r="CC5" i="12" s="1"/>
  <c r="CD5" i="12" s="1"/>
  <c r="CE5" i="12" s="1"/>
  <c r="CF5" i="12" s="1"/>
  <c r="CG5" i="12" s="1"/>
  <c r="CH5" i="12" s="1"/>
  <c r="CI5" i="12" s="1"/>
  <c r="CJ5" i="12" s="1"/>
  <c r="CK5" i="12" s="1"/>
  <c r="CL5" i="12" s="1"/>
  <c r="CM5" i="12" s="1"/>
  <c r="CN5" i="12" s="1"/>
  <c r="CO5" i="12" s="1"/>
  <c r="CP5" i="12" s="1"/>
  <c r="CQ5" i="12" s="1"/>
  <c r="CR5" i="12" s="1"/>
  <c r="CS5" i="12" s="1"/>
  <c r="CT5" i="12" s="1"/>
  <c r="CU5" i="12" s="1"/>
  <c r="CV5" i="12" s="1"/>
  <c r="CW5" i="12" s="1"/>
  <c r="CX5" i="12" s="1"/>
  <c r="CY5" i="12" s="1"/>
  <c r="BD4" i="12"/>
  <c r="BE4" i="12" s="1"/>
  <c r="BF4" i="12" s="1"/>
  <c r="BG4" i="12" s="1"/>
  <c r="BH4" i="12" s="1"/>
  <c r="BI4" i="12" s="1"/>
  <c r="BJ4" i="12" s="1"/>
  <c r="BK4" i="12" s="1"/>
  <c r="BL4" i="12" s="1"/>
  <c r="BM4" i="12" s="1"/>
  <c r="BN4" i="12" s="1"/>
  <c r="BO4" i="12" s="1"/>
  <c r="BP4" i="12" s="1"/>
  <c r="BQ4" i="12" s="1"/>
  <c r="BR4" i="12" s="1"/>
  <c r="BS4" i="12" s="1"/>
  <c r="BT4" i="12" s="1"/>
  <c r="BU4" i="12" s="1"/>
  <c r="BV4" i="12" s="1"/>
  <c r="BW4" i="12" s="1"/>
  <c r="BX4" i="12" s="1"/>
  <c r="BY4" i="12" s="1"/>
  <c r="BZ4" i="12" s="1"/>
  <c r="CA4" i="12" s="1"/>
  <c r="CB4" i="12" s="1"/>
  <c r="CC4" i="12" s="1"/>
  <c r="CD4" i="12" s="1"/>
  <c r="CE4" i="12" s="1"/>
  <c r="CF4" i="12" s="1"/>
  <c r="CG4" i="12" s="1"/>
  <c r="CH4" i="12" s="1"/>
  <c r="CI4" i="12" s="1"/>
  <c r="CJ4" i="12" s="1"/>
  <c r="CK4" i="12" s="1"/>
  <c r="CL4" i="12" s="1"/>
  <c r="CM4" i="12" s="1"/>
  <c r="CN4" i="12" s="1"/>
  <c r="CO4" i="12" s="1"/>
  <c r="CP4" i="12" s="1"/>
  <c r="CQ4" i="12" s="1"/>
  <c r="CR4" i="12" s="1"/>
  <c r="CS4" i="12" s="1"/>
  <c r="CT4" i="12" s="1"/>
  <c r="CU4" i="12" s="1"/>
  <c r="CV4" i="12" s="1"/>
  <c r="CW4" i="12" s="1"/>
  <c r="CX4" i="12" s="1"/>
  <c r="CY4" i="12" s="1"/>
  <c r="A4" i="12" s="1"/>
  <c r="BE3" i="12"/>
  <c r="BF3" i="12" s="1"/>
  <c r="BG3" i="12" s="1"/>
  <c r="BH3" i="12" s="1"/>
  <c r="BI3" i="12" s="1"/>
  <c r="BJ3" i="12" s="1"/>
  <c r="BK3" i="12" s="1"/>
  <c r="BL3" i="12" s="1"/>
  <c r="BM3" i="12" s="1"/>
  <c r="BN3" i="12" s="1"/>
  <c r="BO3" i="12" s="1"/>
  <c r="BP3" i="12" s="1"/>
  <c r="BQ3" i="12" s="1"/>
  <c r="BR3" i="12" s="1"/>
  <c r="BS3" i="12" s="1"/>
  <c r="BT3" i="12" s="1"/>
  <c r="BU3" i="12" s="1"/>
  <c r="BV3" i="12" s="1"/>
  <c r="BW3" i="12" s="1"/>
  <c r="BX3" i="12" s="1"/>
  <c r="BY3" i="12" s="1"/>
  <c r="BZ3" i="12" s="1"/>
  <c r="CA3" i="12" s="1"/>
  <c r="CB3" i="12" s="1"/>
  <c r="CC3" i="12" s="1"/>
  <c r="CD3" i="12" s="1"/>
  <c r="CE3" i="12" s="1"/>
  <c r="CF3" i="12" s="1"/>
  <c r="CG3" i="12" s="1"/>
  <c r="CH3" i="12" s="1"/>
  <c r="CI3" i="12" s="1"/>
  <c r="CJ3" i="12" s="1"/>
  <c r="CK3" i="12" s="1"/>
  <c r="CL3" i="12" s="1"/>
  <c r="CM3" i="12" s="1"/>
  <c r="CN3" i="12" s="1"/>
  <c r="CO3" i="12" s="1"/>
  <c r="CP3" i="12" s="1"/>
  <c r="CQ3" i="12" s="1"/>
  <c r="CR3" i="12" s="1"/>
  <c r="CS3" i="12" s="1"/>
  <c r="CT3" i="12" s="1"/>
  <c r="CU3" i="12" s="1"/>
  <c r="CV3" i="12" s="1"/>
  <c r="CW3" i="12" s="1"/>
  <c r="CX3" i="12" s="1"/>
  <c r="CY3" i="12" s="1"/>
  <c r="A3" i="12" s="1"/>
  <c r="A27" i="12" l="1"/>
  <c r="A7" i="12"/>
  <c r="A6" i="12"/>
  <c r="A5" i="12"/>
  <c r="BD3" i="12"/>
  <c r="ES3" i="12"/>
  <c r="ET3" i="12"/>
  <c r="EU3" i="12"/>
  <c r="EV3" i="12"/>
  <c r="EW3" i="12"/>
  <c r="EX3" i="12"/>
  <c r="EY3" i="12"/>
  <c r="ES4" i="12"/>
  <c r="ET4" i="12"/>
  <c r="EU4" i="12"/>
  <c r="EV4" i="12"/>
  <c r="EW4" i="12"/>
  <c r="EX4" i="12"/>
  <c r="EY4" i="12"/>
  <c r="ES5" i="12"/>
  <c r="ET5" i="12"/>
  <c r="EU5" i="12"/>
  <c r="EV5" i="12"/>
  <c r="EW5" i="12"/>
  <c r="EX5" i="12"/>
  <c r="EY5" i="12"/>
  <c r="ES6" i="12"/>
  <c r="ET6" i="12"/>
  <c r="EU6" i="12"/>
  <c r="EV6" i="12"/>
  <c r="EW6" i="12"/>
  <c r="EX6" i="12"/>
  <c r="EY6" i="12"/>
  <c r="ES7" i="12"/>
  <c r="ET7" i="12"/>
  <c r="EU7" i="12"/>
  <c r="EV7" i="12"/>
  <c r="EW7" i="12"/>
  <c r="EX7" i="12"/>
  <c r="EY7" i="12"/>
  <c r="ES8" i="12"/>
  <c r="ET8" i="12"/>
  <c r="EU8" i="12"/>
  <c r="EV8" i="12"/>
  <c r="EW8" i="12"/>
  <c r="EX8" i="12"/>
  <c r="EY8" i="12"/>
  <c r="ES9" i="12"/>
  <c r="ET9" i="12"/>
  <c r="EU9" i="12"/>
  <c r="EV9" i="12"/>
  <c r="EW9" i="12"/>
  <c r="EX9" i="12"/>
  <c r="EY9" i="12"/>
  <c r="ES10" i="12"/>
  <c r="ET10" i="12"/>
  <c r="EU10" i="12"/>
  <c r="EV10" i="12"/>
  <c r="EW10" i="12"/>
  <c r="EX10" i="12"/>
  <c r="EY10" i="12"/>
  <c r="ES11" i="12"/>
  <c r="ET11" i="12"/>
  <c r="EU11" i="12"/>
  <c r="EV11" i="12"/>
  <c r="EW11" i="12"/>
  <c r="EX11" i="12"/>
  <c r="EY11" i="12"/>
  <c r="ES12" i="12"/>
  <c r="ET12" i="12"/>
  <c r="EU12" i="12"/>
  <c r="EV12" i="12"/>
  <c r="EW12" i="12"/>
  <c r="EX12" i="12"/>
  <c r="EY12" i="12"/>
  <c r="ES13" i="12"/>
  <c r="ET13" i="12"/>
  <c r="EU13" i="12"/>
  <c r="EV13" i="12"/>
  <c r="EW13" i="12"/>
  <c r="EX13" i="12"/>
  <c r="EY13" i="12"/>
  <c r="ES14" i="12"/>
  <c r="ET14" i="12"/>
  <c r="EU14" i="12"/>
  <c r="EV14" i="12"/>
  <c r="EW14" i="12"/>
  <c r="EX14" i="12"/>
  <c r="EY14" i="12"/>
  <c r="ES15" i="12"/>
  <c r="ET15" i="12"/>
  <c r="EU15" i="12"/>
  <c r="EV15" i="12"/>
  <c r="EW15" i="12"/>
  <c r="EX15" i="12"/>
  <c r="EY15" i="12"/>
  <c r="ES16" i="12"/>
  <c r="ET16" i="12"/>
  <c r="EU16" i="12"/>
  <c r="EV16" i="12"/>
  <c r="EW16" i="12"/>
  <c r="EX16" i="12"/>
  <c r="EY16" i="12"/>
  <c r="ES17" i="12"/>
  <c r="ET17" i="12"/>
  <c r="EU17" i="12"/>
  <c r="EV17" i="12"/>
  <c r="EW17" i="12"/>
  <c r="EX17" i="12"/>
  <c r="EY17" i="12"/>
  <c r="EE3" i="12"/>
  <c r="EF3" i="12"/>
  <c r="EG3" i="12"/>
  <c r="EH3" i="12"/>
  <c r="EI3" i="12"/>
  <c r="EJ3" i="12"/>
  <c r="EK3" i="12"/>
  <c r="EL3" i="12"/>
  <c r="EM3" i="12"/>
  <c r="EN3" i="12"/>
  <c r="EO3" i="12"/>
  <c r="EP3" i="12"/>
  <c r="EQ3" i="12"/>
  <c r="ER3" i="12"/>
  <c r="EE4" i="12"/>
  <c r="EF4" i="12"/>
  <c r="EG4" i="12"/>
  <c r="EH4" i="12"/>
  <c r="EI4" i="12"/>
  <c r="EJ4" i="12"/>
  <c r="EK4" i="12"/>
  <c r="EL4" i="12"/>
  <c r="EM4" i="12"/>
  <c r="EN4" i="12"/>
  <c r="EO4" i="12"/>
  <c r="EP4" i="12"/>
  <c r="EQ4" i="12"/>
  <c r="ER4" i="12"/>
  <c r="EE5" i="12"/>
  <c r="EF5" i="12"/>
  <c r="EG5" i="12"/>
  <c r="EH5" i="12"/>
  <c r="EI5" i="12"/>
  <c r="EJ5" i="12"/>
  <c r="EK5" i="12"/>
  <c r="EL5" i="12"/>
  <c r="EM5" i="12"/>
  <c r="EN5" i="12"/>
  <c r="EO5" i="12"/>
  <c r="EP5" i="12"/>
  <c r="EQ5" i="12"/>
  <c r="ER5" i="12"/>
  <c r="EE6" i="12"/>
  <c r="EF6" i="12"/>
  <c r="EG6" i="12"/>
  <c r="EH6" i="12"/>
  <c r="EI6" i="12"/>
  <c r="EJ6" i="12"/>
  <c r="EK6" i="12"/>
  <c r="EL6" i="12"/>
  <c r="EM6" i="12"/>
  <c r="EN6" i="12"/>
  <c r="EO6" i="12"/>
  <c r="EP6" i="12"/>
  <c r="EQ6" i="12"/>
  <c r="ER6" i="12"/>
  <c r="EE7" i="12"/>
  <c r="EF7" i="12"/>
  <c r="EG7" i="12"/>
  <c r="EH7" i="12"/>
  <c r="EI7" i="12"/>
  <c r="EJ7" i="12"/>
  <c r="EK7" i="12"/>
  <c r="EL7" i="12"/>
  <c r="EM7" i="12"/>
  <c r="EN7" i="12"/>
  <c r="EO7" i="12"/>
  <c r="EP7" i="12"/>
  <c r="EQ7" i="12"/>
  <c r="ER7" i="12"/>
  <c r="EE8" i="12"/>
  <c r="EF8" i="12"/>
  <c r="EG8" i="12"/>
  <c r="EH8" i="12"/>
  <c r="EI8" i="12"/>
  <c r="EJ8" i="12"/>
  <c r="EK8" i="12"/>
  <c r="EL8" i="12"/>
  <c r="EM8" i="12"/>
  <c r="EN8" i="12"/>
  <c r="EO8" i="12"/>
  <c r="EP8" i="12"/>
  <c r="EQ8" i="12"/>
  <c r="ER8" i="12"/>
  <c r="EE9" i="12"/>
  <c r="EF9" i="12"/>
  <c r="EG9" i="12"/>
  <c r="EH9" i="12"/>
  <c r="EI9" i="12"/>
  <c r="EJ9" i="12"/>
  <c r="EK9" i="12"/>
  <c r="EL9" i="12"/>
  <c r="EM9" i="12"/>
  <c r="EN9" i="12"/>
  <c r="EO9" i="12"/>
  <c r="EP9" i="12"/>
  <c r="EQ9" i="12"/>
  <c r="ER9" i="12"/>
  <c r="EE10" i="12"/>
  <c r="EF10" i="12"/>
  <c r="EG10" i="12"/>
  <c r="EH10" i="12"/>
  <c r="EI10" i="12"/>
  <c r="EJ10" i="12"/>
  <c r="EK10" i="12"/>
  <c r="EL10" i="12"/>
  <c r="EM10" i="12"/>
  <c r="EN10" i="12"/>
  <c r="EO10" i="12"/>
  <c r="EP10" i="12"/>
  <c r="EQ10" i="12"/>
  <c r="ER10" i="12"/>
  <c r="EE11" i="12"/>
  <c r="EF11" i="12"/>
  <c r="EG11" i="12"/>
  <c r="EH11" i="12"/>
  <c r="EI11" i="12"/>
  <c r="EJ11" i="12"/>
  <c r="EK11" i="12"/>
  <c r="EL11" i="12"/>
  <c r="EM11" i="12"/>
  <c r="EN11" i="12"/>
  <c r="EO11" i="12"/>
  <c r="EP11" i="12"/>
  <c r="EQ11" i="12"/>
  <c r="ER11" i="12"/>
  <c r="EE12" i="12"/>
  <c r="EF12" i="12"/>
  <c r="EG12" i="12"/>
  <c r="EH12" i="12"/>
  <c r="EI12" i="12"/>
  <c r="EJ12" i="12"/>
  <c r="EK12" i="12"/>
  <c r="EL12" i="12"/>
  <c r="EM12" i="12"/>
  <c r="EN12" i="12"/>
  <c r="EO12" i="12"/>
  <c r="EP12" i="12"/>
  <c r="EQ12" i="12"/>
  <c r="ER12" i="12"/>
  <c r="EE13" i="12"/>
  <c r="EF13" i="12"/>
  <c r="EG13" i="12"/>
  <c r="EH13" i="12"/>
  <c r="EI13" i="12"/>
  <c r="EJ13" i="12"/>
  <c r="EK13" i="12"/>
  <c r="EL13" i="12"/>
  <c r="EM13" i="12"/>
  <c r="EN13" i="12"/>
  <c r="EO13" i="12"/>
  <c r="EP13" i="12"/>
  <c r="EQ13" i="12"/>
  <c r="ER13" i="12"/>
  <c r="EE14" i="12"/>
  <c r="EF14" i="12"/>
  <c r="EG14" i="12"/>
  <c r="EH14" i="12"/>
  <c r="EI14" i="12"/>
  <c r="EJ14" i="12"/>
  <c r="EK14" i="12"/>
  <c r="EL14" i="12"/>
  <c r="EM14" i="12"/>
  <c r="EN14" i="12"/>
  <c r="EO14" i="12"/>
  <c r="EP14" i="12"/>
  <c r="EQ14" i="12"/>
  <c r="ER14" i="12"/>
  <c r="EE15" i="12"/>
  <c r="EF15" i="12"/>
  <c r="EG15" i="12"/>
  <c r="EH15" i="12"/>
  <c r="EI15" i="12"/>
  <c r="EJ15" i="12"/>
  <c r="EK15" i="12"/>
  <c r="EL15" i="12"/>
  <c r="EM15" i="12"/>
  <c r="EN15" i="12"/>
  <c r="EO15" i="12"/>
  <c r="EP15" i="12"/>
  <c r="EQ15" i="12"/>
  <c r="ER15" i="12"/>
  <c r="EE16" i="12"/>
  <c r="EF16" i="12"/>
  <c r="EG16" i="12"/>
  <c r="EH16" i="12"/>
  <c r="EI16" i="12"/>
  <c r="EJ16" i="12"/>
  <c r="EK16" i="12"/>
  <c r="EL16" i="12"/>
  <c r="EM16" i="12"/>
  <c r="EN16" i="12"/>
  <c r="EO16" i="12"/>
  <c r="EP16" i="12"/>
  <c r="EQ16" i="12"/>
  <c r="ER16" i="12"/>
  <c r="EE17" i="12"/>
  <c r="EF17" i="12"/>
  <c r="EG17" i="12"/>
  <c r="EH17" i="12"/>
  <c r="EI17" i="12"/>
  <c r="EJ17" i="12"/>
  <c r="EK17" i="12"/>
  <c r="EL17" i="12"/>
  <c r="EM17" i="12"/>
  <c r="EN17" i="12"/>
  <c r="EO17" i="12"/>
  <c r="EP17" i="12"/>
  <c r="EQ17" i="12"/>
  <c r="ER17" i="12"/>
  <c r="DZ3" i="12"/>
  <c r="EA3" i="12"/>
  <c r="EB3" i="12"/>
  <c r="EC3" i="12"/>
  <c r="ED3" i="12"/>
  <c r="DZ4" i="12"/>
  <c r="EA4" i="12"/>
  <c r="EB4" i="12"/>
  <c r="EC4" i="12"/>
  <c r="ED4" i="12"/>
  <c r="DZ5" i="12"/>
  <c r="EA5" i="12"/>
  <c r="EB5" i="12"/>
  <c r="EC5" i="12"/>
  <c r="ED5" i="12"/>
  <c r="DZ6" i="12"/>
  <c r="EA6" i="12"/>
  <c r="EB6" i="12"/>
  <c r="EC6" i="12"/>
  <c r="ED6" i="12"/>
  <c r="DZ7" i="12"/>
  <c r="EA7" i="12"/>
  <c r="EB7" i="12"/>
  <c r="EC7" i="12"/>
  <c r="ED7" i="12"/>
  <c r="DZ8" i="12"/>
  <c r="EA8" i="12"/>
  <c r="EB8" i="12"/>
  <c r="EC8" i="12"/>
  <c r="ED8" i="12"/>
  <c r="DZ9" i="12"/>
  <c r="EA9" i="12"/>
  <c r="EB9" i="12"/>
  <c r="EC9" i="12"/>
  <c r="ED9" i="12"/>
  <c r="DZ10" i="12"/>
  <c r="EA10" i="12"/>
  <c r="EB10" i="12"/>
  <c r="EC10" i="12"/>
  <c r="ED10" i="12"/>
  <c r="DZ11" i="12"/>
  <c r="EA11" i="12"/>
  <c r="EB11" i="12"/>
  <c r="EC11" i="12"/>
  <c r="ED11" i="12"/>
  <c r="DZ12" i="12"/>
  <c r="EA12" i="12"/>
  <c r="EB12" i="12"/>
  <c r="EC12" i="12"/>
  <c r="ED12" i="12"/>
  <c r="DZ13" i="12"/>
  <c r="EA13" i="12"/>
  <c r="EB13" i="12"/>
  <c r="EC13" i="12"/>
  <c r="ED13" i="12"/>
  <c r="DZ14" i="12"/>
  <c r="EA14" i="12"/>
  <c r="EB14" i="12"/>
  <c r="EC14" i="12"/>
  <c r="ED14" i="12"/>
  <c r="DZ15" i="12"/>
  <c r="EA15" i="12"/>
  <c r="EB15" i="12"/>
  <c r="EC15" i="12"/>
  <c r="ED15" i="12"/>
  <c r="DZ16" i="12"/>
  <c r="EA16" i="12"/>
  <c r="EB16" i="12"/>
  <c r="EC16" i="12"/>
  <c r="ED16" i="12"/>
  <c r="DZ17" i="12"/>
  <c r="EA17" i="12"/>
  <c r="EB17" i="12"/>
  <c r="EC17" i="12"/>
  <c r="ED17" i="12"/>
  <c r="DP3" i="12"/>
  <c r="DQ3" i="12"/>
  <c r="DR3" i="12"/>
  <c r="DS3" i="12"/>
  <c r="DT3" i="12"/>
  <c r="DU3" i="12"/>
  <c r="DV3" i="12"/>
  <c r="DW3" i="12"/>
  <c r="DX3" i="12"/>
  <c r="DY3" i="12"/>
  <c r="DP4" i="12"/>
  <c r="DQ4" i="12"/>
  <c r="DR4" i="12"/>
  <c r="DS4" i="12"/>
  <c r="DT4" i="12"/>
  <c r="DU4" i="12"/>
  <c r="DV4" i="12"/>
  <c r="DW4" i="12"/>
  <c r="DX4" i="12"/>
  <c r="DY4" i="12"/>
  <c r="DP5" i="12"/>
  <c r="DQ5" i="12"/>
  <c r="DR5" i="12"/>
  <c r="DS5" i="12"/>
  <c r="DT5" i="12"/>
  <c r="DU5" i="12"/>
  <c r="DV5" i="12"/>
  <c r="DW5" i="12"/>
  <c r="DX5" i="12"/>
  <c r="DY5" i="12"/>
  <c r="DP6" i="12"/>
  <c r="DQ6" i="12"/>
  <c r="DR6" i="12"/>
  <c r="DS6" i="12"/>
  <c r="DT6" i="12"/>
  <c r="DU6" i="12"/>
  <c r="DV6" i="12"/>
  <c r="DW6" i="12"/>
  <c r="DX6" i="12"/>
  <c r="DY6" i="12"/>
  <c r="DP7" i="12"/>
  <c r="DQ7" i="12"/>
  <c r="DR7" i="12"/>
  <c r="DS7" i="12"/>
  <c r="DT7" i="12"/>
  <c r="DU7" i="12"/>
  <c r="DV7" i="12"/>
  <c r="DW7" i="12"/>
  <c r="DX7" i="12"/>
  <c r="DY7" i="12"/>
  <c r="DP8" i="12"/>
  <c r="DQ8" i="12"/>
  <c r="DR8" i="12"/>
  <c r="DS8" i="12"/>
  <c r="DT8" i="12"/>
  <c r="DU8" i="12"/>
  <c r="DV8" i="12"/>
  <c r="DW8" i="12"/>
  <c r="DX8" i="12"/>
  <c r="DY8" i="12"/>
  <c r="DP9" i="12"/>
  <c r="DQ9" i="12"/>
  <c r="DR9" i="12"/>
  <c r="DS9" i="12"/>
  <c r="DT9" i="12"/>
  <c r="DU9" i="12"/>
  <c r="DV9" i="12"/>
  <c r="DW9" i="12"/>
  <c r="DX9" i="12"/>
  <c r="DY9" i="12"/>
  <c r="DP10" i="12"/>
  <c r="DQ10" i="12"/>
  <c r="DR10" i="12"/>
  <c r="DS10" i="12"/>
  <c r="DT10" i="12"/>
  <c r="DU10" i="12"/>
  <c r="DV10" i="12"/>
  <c r="DW10" i="12"/>
  <c r="DX10" i="12"/>
  <c r="DY10" i="12"/>
  <c r="DP11" i="12"/>
  <c r="DQ11" i="12"/>
  <c r="DR11" i="12"/>
  <c r="DS11" i="12"/>
  <c r="DT11" i="12"/>
  <c r="DU11" i="12"/>
  <c r="DV11" i="12"/>
  <c r="DW11" i="12"/>
  <c r="DX11" i="12"/>
  <c r="DY11" i="12"/>
  <c r="DP12" i="12"/>
  <c r="DQ12" i="12"/>
  <c r="DR12" i="12"/>
  <c r="DS12" i="12"/>
  <c r="DT12" i="12"/>
  <c r="DU12" i="12"/>
  <c r="DV12" i="12"/>
  <c r="DW12" i="12"/>
  <c r="DX12" i="12"/>
  <c r="DY12" i="12"/>
  <c r="DP13" i="12"/>
  <c r="DQ13" i="12"/>
  <c r="DR13" i="12"/>
  <c r="DS13" i="12"/>
  <c r="DT13" i="12"/>
  <c r="DU13" i="12"/>
  <c r="DV13" i="12"/>
  <c r="DW13" i="12"/>
  <c r="DX13" i="12"/>
  <c r="DY13" i="12"/>
  <c r="DP14" i="12"/>
  <c r="DQ14" i="12"/>
  <c r="DR14" i="12"/>
  <c r="DS14" i="12"/>
  <c r="DT14" i="12"/>
  <c r="DU14" i="12"/>
  <c r="DV14" i="12"/>
  <c r="DW14" i="12"/>
  <c r="DX14" i="12"/>
  <c r="DY14" i="12"/>
  <c r="DP15" i="12"/>
  <c r="DQ15" i="12"/>
  <c r="DR15" i="12"/>
  <c r="DS15" i="12"/>
  <c r="DT15" i="12"/>
  <c r="DU15" i="12"/>
  <c r="DV15" i="12"/>
  <c r="DW15" i="12"/>
  <c r="DX15" i="12"/>
  <c r="DY15" i="12"/>
  <c r="DP16" i="12"/>
  <c r="DQ16" i="12"/>
  <c r="DR16" i="12"/>
  <c r="DS16" i="12"/>
  <c r="DT16" i="12"/>
  <c r="DU16" i="12"/>
  <c r="DV16" i="12"/>
  <c r="DW16" i="12"/>
  <c r="DX16" i="12"/>
  <c r="DY16" i="12"/>
  <c r="DP17" i="12"/>
  <c r="DQ17" i="12"/>
  <c r="DR17" i="12"/>
  <c r="DS17" i="12"/>
  <c r="DT17" i="12"/>
  <c r="DU17" i="12"/>
  <c r="DV17" i="12"/>
  <c r="DW17" i="12"/>
  <c r="DX17" i="12"/>
  <c r="DY17" i="12"/>
  <c r="DO17" i="12"/>
  <c r="DN17" i="12"/>
  <c r="DM17" i="12"/>
  <c r="DL17" i="12"/>
  <c r="DK17" i="12"/>
  <c r="DJ17" i="12"/>
  <c r="DI17" i="12"/>
  <c r="DH17" i="12"/>
  <c r="DG17" i="12"/>
  <c r="DF17" i="12"/>
  <c r="DE17" i="12"/>
  <c r="DD17" i="12"/>
  <c r="DC17" i="12"/>
  <c r="DO16" i="12"/>
  <c r="DN16" i="12"/>
  <c r="DM16" i="12"/>
  <c r="DL16" i="12"/>
  <c r="DK16" i="12"/>
  <c r="DJ16" i="12"/>
  <c r="DI16" i="12"/>
  <c r="DH16" i="12"/>
  <c r="DG16" i="12"/>
  <c r="DF16" i="12"/>
  <c r="DE16" i="12"/>
  <c r="DD16" i="12"/>
  <c r="DC16" i="12"/>
  <c r="DO15" i="12"/>
  <c r="DN15" i="12"/>
  <c r="DM15" i="12"/>
  <c r="DL15" i="12"/>
  <c r="DK15" i="12"/>
  <c r="DJ15" i="12"/>
  <c r="DI15" i="12"/>
  <c r="DH15" i="12"/>
  <c r="DG15" i="12"/>
  <c r="DF15" i="12"/>
  <c r="DE15" i="12"/>
  <c r="DD15" i="12"/>
  <c r="DC15" i="12"/>
  <c r="DO14" i="12"/>
  <c r="DN14" i="12"/>
  <c r="DM14" i="12"/>
  <c r="DL14" i="12"/>
  <c r="DK14" i="12"/>
  <c r="DJ14" i="12"/>
  <c r="DI14" i="12"/>
  <c r="DH14" i="12"/>
  <c r="DG14" i="12"/>
  <c r="DF14" i="12"/>
  <c r="DE14" i="12"/>
  <c r="DD14" i="12"/>
  <c r="DC14" i="12"/>
  <c r="DO13" i="12"/>
  <c r="DN13" i="12"/>
  <c r="DM13" i="12"/>
  <c r="DL13" i="12"/>
  <c r="DK13" i="12"/>
  <c r="DJ13" i="12"/>
  <c r="DI13" i="12"/>
  <c r="DH13" i="12"/>
  <c r="DG13" i="12"/>
  <c r="DF13" i="12"/>
  <c r="DE13" i="12"/>
  <c r="DD13" i="12"/>
  <c r="DC13" i="12"/>
  <c r="DO12" i="12"/>
  <c r="DN12" i="12"/>
  <c r="DM12" i="12"/>
  <c r="DL12" i="12"/>
  <c r="DK12" i="12"/>
  <c r="DJ12" i="12"/>
  <c r="DI12" i="12"/>
  <c r="DH12" i="12"/>
  <c r="DG12" i="12"/>
  <c r="DF12" i="12"/>
  <c r="DE12" i="12"/>
  <c r="DD12" i="12"/>
  <c r="DC12" i="12"/>
  <c r="DO11" i="12"/>
  <c r="DN11" i="12"/>
  <c r="DM11" i="12"/>
  <c r="DL11" i="12"/>
  <c r="DK11" i="12"/>
  <c r="DJ11" i="12"/>
  <c r="DI11" i="12"/>
  <c r="DH11" i="12"/>
  <c r="DG11" i="12"/>
  <c r="DF11" i="12"/>
  <c r="DE11" i="12"/>
  <c r="DD11" i="12"/>
  <c r="DC11" i="12"/>
  <c r="DO10" i="12"/>
  <c r="DN10" i="12"/>
  <c r="DM10" i="12"/>
  <c r="DL10" i="12"/>
  <c r="DK10" i="12"/>
  <c r="DJ10" i="12"/>
  <c r="DI10" i="12"/>
  <c r="DH10" i="12"/>
  <c r="DG10" i="12"/>
  <c r="DF10" i="12"/>
  <c r="DE10" i="12"/>
  <c r="DD10" i="12"/>
  <c r="DC10" i="12"/>
  <c r="DO9" i="12"/>
  <c r="DN9" i="12"/>
  <c r="DM9" i="12"/>
  <c r="DL9" i="12"/>
  <c r="DK9" i="12"/>
  <c r="DJ9" i="12"/>
  <c r="DI9" i="12"/>
  <c r="DH9" i="12"/>
  <c r="DG9" i="12"/>
  <c r="DF9" i="12"/>
  <c r="DE9" i="12"/>
  <c r="DD9" i="12"/>
  <c r="DC9" i="12"/>
  <c r="DO8" i="12"/>
  <c r="DN8" i="12"/>
  <c r="DM8" i="12"/>
  <c r="DL8" i="12"/>
  <c r="DK8" i="12"/>
  <c r="DJ8" i="12"/>
  <c r="DI8" i="12"/>
  <c r="DH8" i="12"/>
  <c r="DG8" i="12"/>
  <c r="DF8" i="12"/>
  <c r="DE8" i="12"/>
  <c r="DD8" i="12"/>
  <c r="DC8" i="12"/>
  <c r="DO7" i="12"/>
  <c r="DN7" i="12"/>
  <c r="DM7" i="12"/>
  <c r="DL7" i="12"/>
  <c r="DK7" i="12"/>
  <c r="DJ7" i="12"/>
  <c r="DI7" i="12"/>
  <c r="DH7" i="12"/>
  <c r="DG7" i="12"/>
  <c r="DF7" i="12"/>
  <c r="DE7" i="12"/>
  <c r="DD7" i="12"/>
  <c r="DC7" i="12"/>
  <c r="DO6" i="12"/>
  <c r="DN6" i="12"/>
  <c r="DM6" i="12"/>
  <c r="DL6" i="12"/>
  <c r="DK6" i="12"/>
  <c r="DJ6" i="12"/>
  <c r="DI6" i="12"/>
  <c r="DH6" i="12"/>
  <c r="DG6" i="12"/>
  <c r="DF6" i="12"/>
  <c r="DE6" i="12"/>
  <c r="DD6" i="12"/>
  <c r="DC6" i="12"/>
  <c r="DO5" i="12"/>
  <c r="DN5" i="12"/>
  <c r="DM5" i="12"/>
  <c r="DL5" i="12"/>
  <c r="DK5" i="12"/>
  <c r="DJ5" i="12"/>
  <c r="DI5" i="12"/>
  <c r="DH5" i="12"/>
  <c r="DG5" i="12"/>
  <c r="DF5" i="12"/>
  <c r="DE5" i="12"/>
  <c r="DD5" i="12"/>
  <c r="DC5" i="12"/>
  <c r="DO4" i="12"/>
  <c r="DN4" i="12"/>
  <c r="DM4" i="12"/>
  <c r="DL4" i="12"/>
  <c r="DK4" i="12"/>
  <c r="DJ4" i="12"/>
  <c r="DI4" i="12"/>
  <c r="DH4" i="12"/>
  <c r="DG4" i="12"/>
  <c r="DF4" i="12"/>
  <c r="DE4" i="12"/>
  <c r="DD4" i="12"/>
  <c r="DC4" i="12"/>
  <c r="DO3" i="12"/>
  <c r="DN3" i="12"/>
  <c r="DM3" i="12"/>
  <c r="DL3" i="12"/>
  <c r="DK3" i="12"/>
  <c r="DJ3" i="12"/>
  <c r="DI3" i="12"/>
  <c r="DH3" i="12"/>
  <c r="DG3" i="12"/>
  <c r="DF3" i="12"/>
  <c r="DE3" i="12"/>
  <c r="DD3" i="12"/>
  <c r="DC3" i="12"/>
  <c r="DB17" i="12"/>
  <c r="DB16" i="12"/>
  <c r="DB15" i="12"/>
  <c r="DB14" i="12"/>
  <c r="DB13" i="12"/>
  <c r="DB12" i="12"/>
  <c r="DB11" i="12"/>
  <c r="DB10" i="12"/>
  <c r="DB9" i="12"/>
  <c r="DB8" i="12"/>
  <c r="DB7" i="12"/>
  <c r="DB6" i="12"/>
  <c r="DB5" i="12"/>
  <c r="DB4" i="12"/>
  <c r="DB3" i="12"/>
  <c r="CX1" i="12"/>
  <c r="CV1" i="12"/>
  <c r="CT1" i="12"/>
  <c r="CR1" i="12"/>
  <c r="CP1" i="12"/>
  <c r="CN1" i="12"/>
  <c r="CL1" i="12"/>
  <c r="CJ1" i="12"/>
  <c r="CH1" i="12"/>
  <c r="CF1" i="12"/>
  <c r="CD1" i="12"/>
  <c r="CB1" i="12"/>
  <c r="BZ1" i="12"/>
  <c r="BX1" i="12"/>
  <c r="BV1" i="12"/>
  <c r="BT1" i="12"/>
  <c r="BR1" i="12"/>
  <c r="BP1" i="12"/>
  <c r="BN1" i="12"/>
  <c r="BL1" i="12"/>
  <c r="BJ1" i="12"/>
  <c r="BH1" i="12"/>
  <c r="BF1" i="12"/>
  <c r="BD1" i="12"/>
  <c r="BB1" i="12"/>
  <c r="AY1" i="12"/>
  <c r="AW1" i="12"/>
  <c r="AU1" i="12"/>
  <c r="AS1" i="12"/>
  <c r="AQ1" i="12"/>
  <c r="AO1" i="12"/>
  <c r="AM1" i="12"/>
  <c r="AK1" i="12"/>
  <c r="AI1" i="12"/>
  <c r="AG1" i="12"/>
  <c r="AE1" i="12"/>
  <c r="AC1" i="12"/>
  <c r="AA1" i="12"/>
  <c r="Y1" i="12"/>
  <c r="W1" i="12"/>
  <c r="U1" i="12"/>
  <c r="S1" i="12"/>
  <c r="Q1" i="12"/>
  <c r="O1" i="12"/>
  <c r="M1" i="12"/>
  <c r="K1" i="12"/>
  <c r="I1" i="12"/>
  <c r="G1" i="12"/>
  <c r="E1" i="12"/>
  <c r="C1" i="12"/>
  <c r="J9" i="10" l="1"/>
  <c r="G9" i="10"/>
  <c r="F9" i="10"/>
  <c r="E9" i="10"/>
  <c r="I9" i="10" s="1"/>
  <c r="O8" i="10"/>
  <c r="K8" i="10"/>
  <c r="J8" i="10"/>
  <c r="H8" i="10"/>
  <c r="G8" i="10"/>
  <c r="F8" i="10"/>
  <c r="E8" i="10"/>
  <c r="I8" i="10" s="1"/>
  <c r="B8" i="10"/>
  <c r="B7" i="10" s="1"/>
  <c r="B6" i="10" s="1"/>
  <c r="B5" i="10" s="1"/>
  <c r="B4" i="10" s="1"/>
  <c r="B3" i="10" s="1"/>
  <c r="E7" i="10"/>
  <c r="H7" i="10" s="1"/>
  <c r="O6" i="10"/>
  <c r="K6" i="10"/>
  <c r="J6" i="10"/>
  <c r="H6" i="10"/>
  <c r="G6" i="10"/>
  <c r="F6" i="10"/>
  <c r="E6" i="10"/>
  <c r="I6" i="10" s="1"/>
  <c r="E5" i="10"/>
  <c r="H5" i="10" s="1"/>
  <c r="O4" i="10"/>
  <c r="K4" i="10"/>
  <c r="J4" i="10"/>
  <c r="H4" i="10"/>
  <c r="G4" i="10"/>
  <c r="F4" i="10"/>
  <c r="E4" i="10"/>
  <c r="I4" i="10" s="1"/>
  <c r="E3" i="10"/>
  <c r="H3" i="10" s="1"/>
  <c r="N4" i="10" l="1"/>
  <c r="S4" i="10"/>
  <c r="N8" i="10"/>
  <c r="S8" i="10"/>
  <c r="M5" i="10"/>
  <c r="R6" i="10"/>
  <c r="T4" i="10"/>
  <c r="Q6" i="10"/>
  <c r="Q9" i="10"/>
  <c r="M7" i="10"/>
  <c r="Q8" i="10"/>
  <c r="M3" i="10"/>
  <c r="R4" i="10"/>
  <c r="N6" i="10"/>
  <c r="C6" i="10" s="1"/>
  <c r="S6" i="10"/>
  <c r="R8" i="10"/>
  <c r="N9" i="10"/>
  <c r="I5" i="10"/>
  <c r="L6" i="10"/>
  <c r="P6" i="10"/>
  <c r="T6" i="10"/>
  <c r="F7" i="10"/>
  <c r="R7" i="10" s="1"/>
  <c r="J7" i="10"/>
  <c r="P8" i="10"/>
  <c r="C8" i="10" s="1"/>
  <c r="K9" i="10"/>
  <c r="I7" i="10"/>
  <c r="F3" i="10"/>
  <c r="J3" i="10"/>
  <c r="P4" i="10"/>
  <c r="C4" i="10" s="1"/>
  <c r="F5" i="10"/>
  <c r="L8" i="10"/>
  <c r="T8" i="10"/>
  <c r="O9" i="10"/>
  <c r="G3" i="10"/>
  <c r="M4" i="10"/>
  <c r="Q4" i="10"/>
  <c r="G5" i="10"/>
  <c r="M6" i="10"/>
  <c r="G7" i="10"/>
  <c r="M8" i="10"/>
  <c r="H9" i="10"/>
  <c r="S9" i="10" s="1"/>
  <c r="L9" i="10"/>
  <c r="I3" i="10"/>
  <c r="L4" i="10"/>
  <c r="J5" i="10"/>
  <c r="L5" i="10" l="1"/>
  <c r="Q5" i="10"/>
  <c r="R5" i="10"/>
  <c r="S3" i="10"/>
  <c r="N3" i="10"/>
  <c r="T3" i="10"/>
  <c r="O3" i="10"/>
  <c r="N5" i="10"/>
  <c r="S5" i="10"/>
  <c r="L7" i="10"/>
  <c r="Q7" i="10"/>
  <c r="P3" i="10"/>
  <c r="K3" i="10"/>
  <c r="T7" i="10"/>
  <c r="O7" i="10"/>
  <c r="R3" i="10"/>
  <c r="T5" i="10"/>
  <c r="O5" i="10"/>
  <c r="M9" i="10"/>
  <c r="R9" i="10"/>
  <c r="L3" i="10"/>
  <c r="Q3" i="10"/>
  <c r="P5" i="10"/>
  <c r="K5" i="10"/>
  <c r="C5" i="10" s="1"/>
  <c r="S7" i="10"/>
  <c r="N7" i="10"/>
  <c r="P7" i="10"/>
  <c r="K7" i="10"/>
  <c r="T9" i="10"/>
  <c r="P9" i="10"/>
  <c r="C7" i="10" l="1"/>
  <c r="C9" i="10"/>
  <c r="C3" i="10"/>
</calcChain>
</file>

<file path=xl/sharedStrings.xml><?xml version="1.0" encoding="utf-8"?>
<sst xmlns="http://schemas.openxmlformats.org/spreadsheetml/2006/main" count="150" uniqueCount="41">
  <si>
    <t>Calc -&gt;</t>
  </si>
  <si>
    <t>Datum</t>
  </si>
  <si>
    <t>1)</t>
  </si>
  <si>
    <t>2)</t>
  </si>
  <si>
    <t>3)</t>
  </si>
  <si>
    <t>4)</t>
  </si>
  <si>
    <t>5)</t>
  </si>
  <si>
    <t>Top 5 (Relative score)</t>
  </si>
  <si>
    <t xml:space="preserve"> 1) 400 **********  Daniel Sjöholm
 2) 384 **********  Rickard Englund (AoC++)
 3) 361 **********  Erik Holmberg (AoC++)
 4) 354 **********  Anthon Liljeroth
 5) 339 **********  E-K Trombklint</t>
  </si>
  <si>
    <t xml:space="preserve"> 1) 358 *********  Daniel Sjöholm
 2) 341 *********  Rickard Englund (AoC++)
 3) 320 *********  Erik Holmberg (AoC++)
 4) 314 *********  Anthon Liljeroth
 5) 297 *********  E-K Trombklint</t>
  </si>
  <si>
    <t xml:space="preserve"> 1) 466 ***********  Daniel Sjöholm
 2) 447 ***********  Rickard Englund (AoC++)
 3) 422 ***********  Erik Holmberg (AoC++)
 4) 416 ***********  Anthon Liljeroth
 5) 366 ***********  Xabin</t>
  </si>
  <si>
    <t xml:space="preserve"> 1) 535 ************  Daniel Sjöholm
 2) 508 ************  Rickard Englund (AoC++)
 3) 489 ************  Erik Holmberg (AoC++)
 4) 484 ************  Anthon Liljeroth
 5) 418 ************  Xabin</t>
  </si>
  <si>
    <t xml:space="preserve"> 1) 580 *************  Daniel Sjöholm
 2) 549 *************  Rickard Englund (AoC++)
 3) 537 *************  Erik Holmberg (AoC++)
 4) 531 *************  Anthon Liljeroth
 5) 451 *************  Fredrik Estelius</t>
  </si>
  <si>
    <t xml:space="preserve"> 1) 605 **************  Daniel Sjöholm
 2) 597 **************  Rickard Englund (AoC++)
 3) 582 **************  Erik Holmberg (AoC++)
 4) 576 **************  Anthon Liljeroth
 5) 458 **************  Xabin</t>
  </si>
  <si>
    <t>David Hansson</t>
  </si>
  <si>
    <t>Christoffer HÃ¶glund</t>
  </si>
  <si>
    <t>Daniel SjÃ¶holm</t>
  </si>
  <si>
    <t>Anders RÃ¥berg</t>
  </si>
  <si>
    <t>Anthon Liljeroth</t>
  </si>
  <si>
    <t>arimen</t>
  </si>
  <si>
    <t>Vilhelm Bergman</t>
  </si>
  <si>
    <t>Forgoraren</t>
  </si>
  <si>
    <t>JoakimMilleson</t>
  </si>
  <si>
    <t>Micael Andersson</t>
  </si>
  <si>
    <t>Patrik Koskenniemi</t>
  </si>
  <si>
    <t>Peter Lidman</t>
  </si>
  <si>
    <t>Daniel Benjaminsson</t>
  </si>
  <si>
    <t>JoakimRW</t>
  </si>
  <si>
    <t>Xabin</t>
  </si>
  <si>
    <t>Mazarinen</t>
  </si>
  <si>
    <t>hchuphal</t>
  </si>
  <si>
    <t>Fredrik Estelius</t>
  </si>
  <si>
    <t>ull,</t>
  </si>
  <si>
    <t>elin andersson</t>
  </si>
  <si>
    <t>Jonatan</t>
  </si>
  <si>
    <t>E-K Trombklint</t>
  </si>
  <si>
    <t>Rickard Englund</t>
  </si>
  <si>
    <t>BjÃ¶rn Norgren</t>
  </si>
  <si>
    <t>Erik Holmberg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</si>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</sst>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8">
    <xf numFmtId="0" fontId="0" fillId="0" borderId="0" xfId="0"/>
    <xf numFmtId="0" fontId="0" fillId="0" borderId="0" xfId="0" applyAlignment="1">
      <alignment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right"/>
    </xf>
    <xf numFmtId="14" fontId="0" fillId="0" borderId="2" xfId="0" applyNumberForma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1" fillId="2" borderId="8" xfId="1" applyBorder="1" applyAlignment="1">
      <alignment wrapText="1"/>
    </xf>
    <xf numFmtId="1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wrapText="1"/>
    </xf>
    <xf numFmtId="0" fontId="1" fillId="2" borderId="9" xfId="1" applyBorder="1" applyAlignment="1">
      <alignment wrapText="1"/>
    </xf>
    <xf numFmtId="0" fontId="0" fillId="0" borderId="0" xfId="0" applyAlignment="1">
      <alignment horizontal="center" wrapText="1"/>
    </xf>
    <xf numFmtId="0" fontId="2" fillId="0" borderId="0" xfId="0" applyFont="1" applyAlignment="1">
      <alignment wrapText="1"/>
    </xf>
    <xf numFmtId="2" fontId="2" fillId="0" borderId="0" xfId="0" applyNumberFormat="1" applyFont="1" applyAlignment="1">
      <alignment wrapText="1"/>
    </xf>
    <xf numFmtId="2" fontId="0" fillId="0" borderId="0" xfId="0" applyNumberFormat="1"/>
    <xf numFmtId="1" fontId="2" fillId="0" borderId="0" xfId="0" applyNumberFormat="1" applyFont="1" applyAlignment="1">
      <alignment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Leaderboard!$B$3</c:f>
              <c:strCache>
                <c:ptCount val="1"/>
                <c:pt idx="0">
                  <c:v>David Hansson</c:v>
                </c:pt>
              </c:strCache>
            </c:strRef>
          </c:tx>
          <c:spPr>
            <a:ln w="22225" cap="rnd">
              <a:solidFill>
                <a:schemeClr val="accent4">
                  <a:shade val="35000"/>
                </a:schemeClr>
              </a:solidFill>
            </a:ln>
            <a:effectLst>
              <a:glow rad="139700">
                <a:schemeClr val="accent4">
                  <a:shade val="3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Leaderboard!$BB$3:$CY$3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</c:v>
                </c:pt>
                <c:pt idx="15">
                  <c:v>36</c:v>
                </c:pt>
                <c:pt idx="16">
                  <c:v>36</c:v>
                </c:pt>
                <c:pt idx="17">
                  <c:v>36</c:v>
                </c:pt>
                <c:pt idx="18">
                  <c:v>36</c:v>
                </c:pt>
                <c:pt idx="19">
                  <c:v>36</c:v>
                </c:pt>
                <c:pt idx="20">
                  <c:v>36</c:v>
                </c:pt>
                <c:pt idx="21">
                  <c:v>36</c:v>
                </c:pt>
                <c:pt idx="22">
                  <c:v>36</c:v>
                </c:pt>
                <c:pt idx="23">
                  <c:v>36</c:v>
                </c:pt>
                <c:pt idx="24">
                  <c:v>36</c:v>
                </c:pt>
                <c:pt idx="25">
                  <c:v>36</c:v>
                </c:pt>
                <c:pt idx="26">
                  <c:v>36</c:v>
                </c:pt>
                <c:pt idx="27">
                  <c:v>36</c:v>
                </c:pt>
                <c:pt idx="28">
                  <c:v>36</c:v>
                </c:pt>
                <c:pt idx="29">
                  <c:v>36</c:v>
                </c:pt>
                <c:pt idx="30">
                  <c:v>36</c:v>
                </c:pt>
                <c:pt idx="31">
                  <c:v>36</c:v>
                </c:pt>
                <c:pt idx="32">
                  <c:v>36</c:v>
                </c:pt>
                <c:pt idx="33">
                  <c:v>36</c:v>
                </c:pt>
                <c:pt idx="34">
                  <c:v>36</c:v>
                </c:pt>
                <c:pt idx="35">
                  <c:v>36</c:v>
                </c:pt>
                <c:pt idx="36">
                  <c:v>36</c:v>
                </c:pt>
                <c:pt idx="37">
                  <c:v>36</c:v>
                </c:pt>
                <c:pt idx="38">
                  <c:v>36</c:v>
                </c:pt>
                <c:pt idx="39">
                  <c:v>36</c:v>
                </c:pt>
                <c:pt idx="40">
                  <c:v>36</c:v>
                </c:pt>
                <c:pt idx="41">
                  <c:v>36</c:v>
                </c:pt>
                <c:pt idx="42">
                  <c:v>36</c:v>
                </c:pt>
                <c:pt idx="43">
                  <c:v>36</c:v>
                </c:pt>
                <c:pt idx="44">
                  <c:v>36</c:v>
                </c:pt>
                <c:pt idx="45">
                  <c:v>36</c:v>
                </c:pt>
                <c:pt idx="46">
                  <c:v>36</c:v>
                </c:pt>
                <c:pt idx="47">
                  <c:v>36</c:v>
                </c:pt>
                <c:pt idx="48">
                  <c:v>36</c:v>
                </c:pt>
                <c:pt idx="49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F-47BE-858E-22B3B6716C56}"/>
            </c:ext>
          </c:extLst>
        </c:ser>
        <c:ser>
          <c:idx val="1"/>
          <c:order val="1"/>
          <c:tx>
            <c:strRef>
              <c:f>Leaderboard!$B$4</c:f>
              <c:strCache>
                <c:ptCount val="1"/>
                <c:pt idx="0">
                  <c:v>Christoffer HÃ¶glund</c:v>
                </c:pt>
              </c:strCache>
            </c:strRef>
          </c:tx>
          <c:spPr>
            <a:ln w="22225" cap="rnd">
              <a:solidFill>
                <a:schemeClr val="accent4">
                  <a:shade val="40000"/>
                </a:schemeClr>
              </a:solidFill>
            </a:ln>
            <a:effectLst>
              <a:glow rad="139700">
                <a:schemeClr val="accent4">
                  <a:shade val="4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Leaderboard!$BB$4:$CY$4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9F-47BE-858E-22B3B6716C56}"/>
            </c:ext>
          </c:extLst>
        </c:ser>
        <c:ser>
          <c:idx val="2"/>
          <c:order val="2"/>
          <c:tx>
            <c:strRef>
              <c:f>Leaderboard!$B$5</c:f>
              <c:strCache>
                <c:ptCount val="1"/>
                <c:pt idx="0">
                  <c:v>Daniel SjÃ¶holm</c:v>
                </c:pt>
              </c:strCache>
            </c:strRef>
          </c:tx>
          <c:spPr>
            <a:ln w="22225" cap="rnd">
              <a:solidFill>
                <a:schemeClr val="accent4">
                  <a:shade val="46000"/>
                </a:schemeClr>
              </a:solidFill>
            </a:ln>
            <a:effectLst>
              <a:glow rad="139700">
                <a:schemeClr val="accent4">
                  <a:shade val="4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Leaderboard!$BB$5:$CY$5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25</c:v>
                </c:pt>
                <c:pt idx="3">
                  <c:v>50</c:v>
                </c:pt>
                <c:pt idx="4">
                  <c:v>75</c:v>
                </c:pt>
                <c:pt idx="5">
                  <c:v>98</c:v>
                </c:pt>
                <c:pt idx="6">
                  <c:v>123</c:v>
                </c:pt>
                <c:pt idx="7">
                  <c:v>148</c:v>
                </c:pt>
                <c:pt idx="8">
                  <c:v>173</c:v>
                </c:pt>
                <c:pt idx="9">
                  <c:v>198</c:v>
                </c:pt>
                <c:pt idx="10">
                  <c:v>221</c:v>
                </c:pt>
                <c:pt idx="11">
                  <c:v>244</c:v>
                </c:pt>
                <c:pt idx="12">
                  <c:v>269</c:v>
                </c:pt>
                <c:pt idx="13">
                  <c:v>293</c:v>
                </c:pt>
                <c:pt idx="14">
                  <c:v>316</c:v>
                </c:pt>
                <c:pt idx="15">
                  <c:v>341</c:v>
                </c:pt>
                <c:pt idx="16">
                  <c:v>365</c:v>
                </c:pt>
                <c:pt idx="17">
                  <c:v>390</c:v>
                </c:pt>
                <c:pt idx="18">
                  <c:v>415</c:v>
                </c:pt>
                <c:pt idx="19">
                  <c:v>436</c:v>
                </c:pt>
                <c:pt idx="20">
                  <c:v>460</c:v>
                </c:pt>
                <c:pt idx="21">
                  <c:v>485</c:v>
                </c:pt>
                <c:pt idx="22">
                  <c:v>509</c:v>
                </c:pt>
                <c:pt idx="23">
                  <c:v>532</c:v>
                </c:pt>
                <c:pt idx="24">
                  <c:v>556</c:v>
                </c:pt>
                <c:pt idx="25">
                  <c:v>577</c:v>
                </c:pt>
                <c:pt idx="26">
                  <c:v>602</c:v>
                </c:pt>
                <c:pt idx="27">
                  <c:v>602</c:v>
                </c:pt>
                <c:pt idx="28">
                  <c:v>602</c:v>
                </c:pt>
                <c:pt idx="29">
                  <c:v>602</c:v>
                </c:pt>
                <c:pt idx="30">
                  <c:v>602</c:v>
                </c:pt>
                <c:pt idx="31">
                  <c:v>602</c:v>
                </c:pt>
                <c:pt idx="32">
                  <c:v>602</c:v>
                </c:pt>
                <c:pt idx="33">
                  <c:v>602</c:v>
                </c:pt>
                <c:pt idx="34">
                  <c:v>602</c:v>
                </c:pt>
                <c:pt idx="35">
                  <c:v>602</c:v>
                </c:pt>
                <c:pt idx="36">
                  <c:v>602</c:v>
                </c:pt>
                <c:pt idx="37">
                  <c:v>602</c:v>
                </c:pt>
                <c:pt idx="38">
                  <c:v>602</c:v>
                </c:pt>
                <c:pt idx="39">
                  <c:v>602</c:v>
                </c:pt>
                <c:pt idx="40">
                  <c:v>602</c:v>
                </c:pt>
                <c:pt idx="41">
                  <c:v>602</c:v>
                </c:pt>
                <c:pt idx="42">
                  <c:v>602</c:v>
                </c:pt>
                <c:pt idx="43">
                  <c:v>602</c:v>
                </c:pt>
                <c:pt idx="44">
                  <c:v>602</c:v>
                </c:pt>
                <c:pt idx="45">
                  <c:v>602</c:v>
                </c:pt>
                <c:pt idx="46">
                  <c:v>602</c:v>
                </c:pt>
                <c:pt idx="47">
                  <c:v>602</c:v>
                </c:pt>
                <c:pt idx="48">
                  <c:v>602</c:v>
                </c:pt>
                <c:pt idx="49">
                  <c:v>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9F-47BE-858E-22B3B6716C56}"/>
            </c:ext>
          </c:extLst>
        </c:ser>
        <c:ser>
          <c:idx val="3"/>
          <c:order val="3"/>
          <c:tx>
            <c:strRef>
              <c:f>Leaderboard!$B$6</c:f>
              <c:strCache>
                <c:ptCount val="1"/>
                <c:pt idx="0">
                  <c:v>Anders RÃ¥berg</c:v>
                </c:pt>
              </c:strCache>
            </c:strRef>
          </c:tx>
          <c:spPr>
            <a:ln w="22225" cap="rnd">
              <a:solidFill>
                <a:schemeClr val="accent4">
                  <a:shade val="51000"/>
                </a:schemeClr>
              </a:solidFill>
            </a:ln>
            <a:effectLst>
              <a:glow rad="139700">
                <a:schemeClr val="accent4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Leaderboard!$BB$6:$CY$6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</c:v>
                </c:pt>
                <c:pt idx="8">
                  <c:v>36</c:v>
                </c:pt>
                <c:pt idx="9">
                  <c:v>53</c:v>
                </c:pt>
                <c:pt idx="10">
                  <c:v>53</c:v>
                </c:pt>
                <c:pt idx="11">
                  <c:v>53</c:v>
                </c:pt>
                <c:pt idx="12">
                  <c:v>71</c:v>
                </c:pt>
                <c:pt idx="13">
                  <c:v>89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123</c:v>
                </c:pt>
                <c:pt idx="18">
                  <c:v>123</c:v>
                </c:pt>
                <c:pt idx="19">
                  <c:v>141</c:v>
                </c:pt>
                <c:pt idx="20">
                  <c:v>158</c:v>
                </c:pt>
                <c:pt idx="21">
                  <c:v>175</c:v>
                </c:pt>
                <c:pt idx="22">
                  <c:v>193</c:v>
                </c:pt>
                <c:pt idx="23">
                  <c:v>212</c:v>
                </c:pt>
                <c:pt idx="24">
                  <c:v>232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9F-47BE-858E-22B3B6716C56}"/>
            </c:ext>
          </c:extLst>
        </c:ser>
        <c:ser>
          <c:idx val="4"/>
          <c:order val="4"/>
          <c:tx>
            <c:strRef>
              <c:f>Leaderboard!$B$7</c:f>
              <c:strCache>
                <c:ptCount val="1"/>
                <c:pt idx="0">
                  <c:v>Anthon Liljeroth</c:v>
                </c:pt>
              </c:strCache>
            </c:strRef>
          </c:tx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val>
            <c:numRef>
              <c:f>Leaderboard!$BB$7:$CY$7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22</c:v>
                </c:pt>
                <c:pt idx="3">
                  <c:v>44</c:v>
                </c:pt>
                <c:pt idx="4">
                  <c:v>65</c:v>
                </c:pt>
                <c:pt idx="5">
                  <c:v>86</c:v>
                </c:pt>
                <c:pt idx="6">
                  <c:v>109</c:v>
                </c:pt>
                <c:pt idx="7">
                  <c:v>129</c:v>
                </c:pt>
                <c:pt idx="8">
                  <c:v>150</c:v>
                </c:pt>
                <c:pt idx="9">
                  <c:v>171</c:v>
                </c:pt>
                <c:pt idx="10">
                  <c:v>192</c:v>
                </c:pt>
                <c:pt idx="11">
                  <c:v>213</c:v>
                </c:pt>
                <c:pt idx="12">
                  <c:v>234</c:v>
                </c:pt>
                <c:pt idx="13">
                  <c:v>255</c:v>
                </c:pt>
                <c:pt idx="14">
                  <c:v>276</c:v>
                </c:pt>
                <c:pt idx="15">
                  <c:v>298</c:v>
                </c:pt>
                <c:pt idx="16">
                  <c:v>323</c:v>
                </c:pt>
                <c:pt idx="17">
                  <c:v>346</c:v>
                </c:pt>
                <c:pt idx="18">
                  <c:v>370</c:v>
                </c:pt>
                <c:pt idx="19">
                  <c:v>390</c:v>
                </c:pt>
                <c:pt idx="20">
                  <c:v>412</c:v>
                </c:pt>
                <c:pt idx="21">
                  <c:v>434</c:v>
                </c:pt>
                <c:pt idx="22">
                  <c:v>459</c:v>
                </c:pt>
                <c:pt idx="23">
                  <c:v>481</c:v>
                </c:pt>
                <c:pt idx="24">
                  <c:v>506</c:v>
                </c:pt>
                <c:pt idx="25">
                  <c:v>528</c:v>
                </c:pt>
                <c:pt idx="26">
                  <c:v>550</c:v>
                </c:pt>
                <c:pt idx="27">
                  <c:v>573</c:v>
                </c:pt>
                <c:pt idx="28">
                  <c:v>573</c:v>
                </c:pt>
                <c:pt idx="29">
                  <c:v>573</c:v>
                </c:pt>
                <c:pt idx="30">
                  <c:v>573</c:v>
                </c:pt>
                <c:pt idx="31">
                  <c:v>573</c:v>
                </c:pt>
                <c:pt idx="32">
                  <c:v>573</c:v>
                </c:pt>
                <c:pt idx="33">
                  <c:v>573</c:v>
                </c:pt>
                <c:pt idx="34">
                  <c:v>573</c:v>
                </c:pt>
                <c:pt idx="35">
                  <c:v>573</c:v>
                </c:pt>
                <c:pt idx="36">
                  <c:v>573</c:v>
                </c:pt>
                <c:pt idx="37">
                  <c:v>573</c:v>
                </c:pt>
                <c:pt idx="38">
                  <c:v>573</c:v>
                </c:pt>
                <c:pt idx="39">
                  <c:v>573</c:v>
                </c:pt>
                <c:pt idx="40">
                  <c:v>573</c:v>
                </c:pt>
                <c:pt idx="41">
                  <c:v>573</c:v>
                </c:pt>
                <c:pt idx="42">
                  <c:v>573</c:v>
                </c:pt>
                <c:pt idx="43">
                  <c:v>573</c:v>
                </c:pt>
                <c:pt idx="44">
                  <c:v>573</c:v>
                </c:pt>
                <c:pt idx="45">
                  <c:v>573</c:v>
                </c:pt>
                <c:pt idx="46">
                  <c:v>573</c:v>
                </c:pt>
                <c:pt idx="47">
                  <c:v>573</c:v>
                </c:pt>
                <c:pt idx="48">
                  <c:v>573</c:v>
                </c:pt>
                <c:pt idx="49">
                  <c:v>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9F-47BE-858E-22B3B6716C56}"/>
            </c:ext>
          </c:extLst>
        </c:ser>
        <c:ser>
          <c:idx val="5"/>
          <c:order val="5"/>
          <c:tx>
            <c:strRef>
              <c:f>Leaderboard!$B$8</c:f>
              <c:strCache>
                <c:ptCount val="1"/>
                <c:pt idx="0">
                  <c:v>arimen</c:v>
                </c:pt>
              </c:strCache>
            </c:strRef>
          </c:tx>
          <c:spPr>
            <a:ln w="22225" cap="rnd">
              <a:solidFill>
                <a:schemeClr val="accent4">
                  <a:shade val="62000"/>
                </a:schemeClr>
              </a:solidFill>
            </a:ln>
            <a:effectLst>
              <a:glow rad="139700">
                <a:schemeClr val="accent4">
                  <a:shade val="6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Leaderboard!$BB$8:$CY$8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29F-47BE-858E-22B3B6716C56}"/>
            </c:ext>
          </c:extLst>
        </c:ser>
        <c:ser>
          <c:idx val="6"/>
          <c:order val="6"/>
          <c:tx>
            <c:strRef>
              <c:f>Leaderboard!$B$9</c:f>
              <c:strCache>
                <c:ptCount val="1"/>
                <c:pt idx="0">
                  <c:v>Vilhelm Bergman</c:v>
                </c:pt>
              </c:strCache>
            </c:strRef>
          </c:tx>
          <c:spPr>
            <a:ln w="22225" cap="rnd">
              <a:solidFill>
                <a:schemeClr val="accent4">
                  <a:shade val="67000"/>
                </a:schemeClr>
              </a:solidFill>
            </a:ln>
            <a:effectLst>
              <a:glow rad="139700">
                <a:schemeClr val="accent4">
                  <a:shade val="6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Leaderboard!$BB$9:$CY$9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21</c:v>
                </c:pt>
                <c:pt idx="3">
                  <c:v>42</c:v>
                </c:pt>
                <c:pt idx="4">
                  <c:v>60</c:v>
                </c:pt>
                <c:pt idx="5">
                  <c:v>80</c:v>
                </c:pt>
                <c:pt idx="6">
                  <c:v>101</c:v>
                </c:pt>
                <c:pt idx="7">
                  <c:v>123</c:v>
                </c:pt>
                <c:pt idx="8">
                  <c:v>142</c:v>
                </c:pt>
                <c:pt idx="9">
                  <c:v>161</c:v>
                </c:pt>
                <c:pt idx="10">
                  <c:v>178</c:v>
                </c:pt>
                <c:pt idx="11">
                  <c:v>178</c:v>
                </c:pt>
                <c:pt idx="12">
                  <c:v>178</c:v>
                </c:pt>
                <c:pt idx="13">
                  <c:v>178</c:v>
                </c:pt>
                <c:pt idx="14">
                  <c:v>178</c:v>
                </c:pt>
                <c:pt idx="15">
                  <c:v>178</c:v>
                </c:pt>
                <c:pt idx="16">
                  <c:v>195</c:v>
                </c:pt>
                <c:pt idx="17">
                  <c:v>195</c:v>
                </c:pt>
                <c:pt idx="18">
                  <c:v>195</c:v>
                </c:pt>
                <c:pt idx="19">
                  <c:v>195</c:v>
                </c:pt>
                <c:pt idx="20">
                  <c:v>195</c:v>
                </c:pt>
                <c:pt idx="21">
                  <c:v>195</c:v>
                </c:pt>
                <c:pt idx="22">
                  <c:v>212</c:v>
                </c:pt>
                <c:pt idx="23">
                  <c:v>229</c:v>
                </c:pt>
                <c:pt idx="24">
                  <c:v>246</c:v>
                </c:pt>
                <c:pt idx="25">
                  <c:v>263</c:v>
                </c:pt>
                <c:pt idx="26">
                  <c:v>263</c:v>
                </c:pt>
                <c:pt idx="27">
                  <c:v>263</c:v>
                </c:pt>
                <c:pt idx="28">
                  <c:v>263</c:v>
                </c:pt>
                <c:pt idx="29">
                  <c:v>263</c:v>
                </c:pt>
                <c:pt idx="30">
                  <c:v>263</c:v>
                </c:pt>
                <c:pt idx="31">
                  <c:v>263</c:v>
                </c:pt>
                <c:pt idx="32">
                  <c:v>263</c:v>
                </c:pt>
                <c:pt idx="33">
                  <c:v>263</c:v>
                </c:pt>
                <c:pt idx="34">
                  <c:v>263</c:v>
                </c:pt>
                <c:pt idx="35">
                  <c:v>263</c:v>
                </c:pt>
                <c:pt idx="36">
                  <c:v>263</c:v>
                </c:pt>
                <c:pt idx="37">
                  <c:v>263</c:v>
                </c:pt>
                <c:pt idx="38">
                  <c:v>263</c:v>
                </c:pt>
                <c:pt idx="39">
                  <c:v>263</c:v>
                </c:pt>
                <c:pt idx="40">
                  <c:v>263</c:v>
                </c:pt>
                <c:pt idx="41">
                  <c:v>263</c:v>
                </c:pt>
                <c:pt idx="42">
                  <c:v>263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263</c:v>
                </c:pt>
                <c:pt idx="47">
                  <c:v>263</c:v>
                </c:pt>
                <c:pt idx="48">
                  <c:v>263</c:v>
                </c:pt>
                <c:pt idx="49">
                  <c:v>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29F-47BE-858E-22B3B6716C56}"/>
            </c:ext>
          </c:extLst>
        </c:ser>
        <c:ser>
          <c:idx val="7"/>
          <c:order val="7"/>
          <c:tx>
            <c:strRef>
              <c:f>Leaderboard!$B$10</c:f>
              <c:strCache>
                <c:ptCount val="1"/>
                <c:pt idx="0">
                  <c:v>Forgoraren</c:v>
                </c:pt>
              </c:strCache>
            </c:strRef>
          </c:tx>
          <c:spPr>
            <a:ln w="22225" cap="rnd">
              <a:solidFill>
                <a:schemeClr val="accent4">
                  <a:shade val="73000"/>
                </a:schemeClr>
              </a:solidFill>
            </a:ln>
            <a:effectLst>
              <a:glow rad="139700">
                <a:schemeClr val="accent4">
                  <a:shade val="7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Leaderboard!$BB$10:$CY$10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29F-47BE-858E-22B3B6716C56}"/>
            </c:ext>
          </c:extLst>
        </c:ser>
        <c:ser>
          <c:idx val="8"/>
          <c:order val="8"/>
          <c:tx>
            <c:strRef>
              <c:f>Leaderboard!$B$11</c:f>
              <c:strCache>
                <c:ptCount val="1"/>
                <c:pt idx="0">
                  <c:v>JoakimMilleson</c:v>
                </c:pt>
              </c:strCache>
            </c:strRef>
          </c:tx>
          <c:spPr>
            <a:ln w="22225" cap="rnd">
              <a:solidFill>
                <a:schemeClr val="accent4">
                  <a:shade val="78000"/>
                </a:schemeClr>
              </a:solidFill>
            </a:ln>
            <a:effectLst>
              <a:glow rad="139700">
                <a:schemeClr val="accent4">
                  <a:shade val="7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Leaderboard!$BB$11:$CY$11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29F-47BE-858E-22B3B6716C56}"/>
            </c:ext>
          </c:extLst>
        </c:ser>
        <c:ser>
          <c:idx val="9"/>
          <c:order val="9"/>
          <c:tx>
            <c:strRef>
              <c:f>Leaderboard!$B$12</c:f>
              <c:strCache>
                <c:ptCount val="1"/>
                <c:pt idx="0">
                  <c:v>Micael Andersson</c:v>
                </c:pt>
              </c:strCache>
            </c:strRef>
          </c:tx>
          <c:spPr>
            <a:ln w="22225" cap="rnd">
              <a:solidFill>
                <a:schemeClr val="accent4">
                  <a:shade val="83000"/>
                </a:schemeClr>
              </a:solidFill>
            </a:ln>
            <a:effectLst>
              <a:glow rad="139700">
                <a:schemeClr val="accent4">
                  <a:shade val="8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Leaderboard!$BB$12:$CY$12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29F-47BE-858E-22B3B6716C56}"/>
            </c:ext>
          </c:extLst>
        </c:ser>
        <c:ser>
          <c:idx val="10"/>
          <c:order val="10"/>
          <c:tx>
            <c:strRef>
              <c:f>Leaderboard!$B$13</c:f>
              <c:strCache>
                <c:ptCount val="1"/>
                <c:pt idx="0">
                  <c:v>Patrik Koskenniemi</c:v>
                </c:pt>
              </c:strCache>
            </c:strRef>
          </c:tx>
          <c:spPr>
            <a:ln w="22225" cap="rnd">
              <a:solidFill>
                <a:schemeClr val="accent4">
                  <a:shade val="89000"/>
                </a:schemeClr>
              </a:solidFill>
            </a:ln>
            <a:effectLst>
              <a:glow rad="139700">
                <a:schemeClr val="accent4">
                  <a:shade val="8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Leaderboard!$BB$13:$CY$13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29F-47BE-858E-22B3B6716C56}"/>
            </c:ext>
          </c:extLst>
        </c:ser>
        <c:ser>
          <c:idx val="11"/>
          <c:order val="11"/>
          <c:tx>
            <c:strRef>
              <c:f>Leaderboard!$B$14</c:f>
              <c:strCache>
                <c:ptCount val="1"/>
                <c:pt idx="0">
                  <c:v>Peter Lidman</c:v>
                </c:pt>
              </c:strCache>
            </c:strRef>
          </c:tx>
          <c:spPr>
            <a:ln w="22225" cap="rnd">
              <a:solidFill>
                <a:schemeClr val="accent4">
                  <a:shade val="94000"/>
                </a:schemeClr>
              </a:solidFill>
            </a:ln>
            <a:effectLst>
              <a:glow rad="139700">
                <a:schemeClr val="accent4">
                  <a:shade val="9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Leaderboard!$BB$14:$CY$14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</c:v>
                </c:pt>
                <c:pt idx="5">
                  <c:v>39</c:v>
                </c:pt>
                <c:pt idx="6">
                  <c:v>57</c:v>
                </c:pt>
                <c:pt idx="7">
                  <c:v>74</c:v>
                </c:pt>
                <c:pt idx="8">
                  <c:v>94</c:v>
                </c:pt>
                <c:pt idx="9">
                  <c:v>114</c:v>
                </c:pt>
                <c:pt idx="10">
                  <c:v>132</c:v>
                </c:pt>
                <c:pt idx="11">
                  <c:v>151</c:v>
                </c:pt>
                <c:pt idx="12">
                  <c:v>171</c:v>
                </c:pt>
                <c:pt idx="13">
                  <c:v>190</c:v>
                </c:pt>
                <c:pt idx="14">
                  <c:v>210</c:v>
                </c:pt>
                <c:pt idx="15">
                  <c:v>229</c:v>
                </c:pt>
                <c:pt idx="16">
                  <c:v>247</c:v>
                </c:pt>
                <c:pt idx="17">
                  <c:v>265</c:v>
                </c:pt>
                <c:pt idx="18">
                  <c:v>284</c:v>
                </c:pt>
                <c:pt idx="19">
                  <c:v>306</c:v>
                </c:pt>
                <c:pt idx="20">
                  <c:v>325</c:v>
                </c:pt>
                <c:pt idx="21">
                  <c:v>343</c:v>
                </c:pt>
                <c:pt idx="22">
                  <c:v>362</c:v>
                </c:pt>
                <c:pt idx="23">
                  <c:v>380</c:v>
                </c:pt>
                <c:pt idx="24">
                  <c:v>399</c:v>
                </c:pt>
                <c:pt idx="25">
                  <c:v>418</c:v>
                </c:pt>
                <c:pt idx="26">
                  <c:v>418</c:v>
                </c:pt>
                <c:pt idx="27">
                  <c:v>418</c:v>
                </c:pt>
                <c:pt idx="28">
                  <c:v>418</c:v>
                </c:pt>
                <c:pt idx="29">
                  <c:v>418</c:v>
                </c:pt>
                <c:pt idx="30">
                  <c:v>418</c:v>
                </c:pt>
                <c:pt idx="31">
                  <c:v>418</c:v>
                </c:pt>
                <c:pt idx="32">
                  <c:v>418</c:v>
                </c:pt>
                <c:pt idx="33">
                  <c:v>418</c:v>
                </c:pt>
                <c:pt idx="34">
                  <c:v>418</c:v>
                </c:pt>
                <c:pt idx="35">
                  <c:v>418</c:v>
                </c:pt>
                <c:pt idx="36">
                  <c:v>418</c:v>
                </c:pt>
                <c:pt idx="37">
                  <c:v>418</c:v>
                </c:pt>
                <c:pt idx="38">
                  <c:v>418</c:v>
                </c:pt>
                <c:pt idx="39">
                  <c:v>418</c:v>
                </c:pt>
                <c:pt idx="40">
                  <c:v>418</c:v>
                </c:pt>
                <c:pt idx="41">
                  <c:v>418</c:v>
                </c:pt>
                <c:pt idx="42">
                  <c:v>418</c:v>
                </c:pt>
                <c:pt idx="43">
                  <c:v>418</c:v>
                </c:pt>
                <c:pt idx="44">
                  <c:v>418</c:v>
                </c:pt>
                <c:pt idx="45">
                  <c:v>418</c:v>
                </c:pt>
                <c:pt idx="46">
                  <c:v>418</c:v>
                </c:pt>
                <c:pt idx="47">
                  <c:v>418</c:v>
                </c:pt>
                <c:pt idx="48">
                  <c:v>418</c:v>
                </c:pt>
                <c:pt idx="49">
                  <c:v>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29F-47BE-858E-22B3B6716C56}"/>
            </c:ext>
          </c:extLst>
        </c:ser>
        <c:ser>
          <c:idx val="12"/>
          <c:order val="12"/>
          <c:tx>
            <c:strRef>
              <c:f>Leaderboard!$B$15</c:f>
              <c:strCache>
                <c:ptCount val="1"/>
                <c:pt idx="0">
                  <c:v>Daniel Benjaminsson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Leaderboard!$BB$15:$CY$15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17</c:v>
                </c:pt>
                <c:pt idx="3">
                  <c:v>34</c:v>
                </c:pt>
                <c:pt idx="4">
                  <c:v>53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71</c:v>
                </c:pt>
                <c:pt idx="15">
                  <c:v>71</c:v>
                </c:pt>
                <c:pt idx="16">
                  <c:v>71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71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71</c:v>
                </c:pt>
                <c:pt idx="45">
                  <c:v>71</c:v>
                </c:pt>
                <c:pt idx="46">
                  <c:v>71</c:v>
                </c:pt>
                <c:pt idx="47">
                  <c:v>71</c:v>
                </c:pt>
                <c:pt idx="48">
                  <c:v>71</c:v>
                </c:pt>
                <c:pt idx="49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29F-47BE-858E-22B3B6716C56}"/>
            </c:ext>
          </c:extLst>
        </c:ser>
        <c:ser>
          <c:idx val="13"/>
          <c:order val="13"/>
          <c:tx>
            <c:strRef>
              <c:f>Leaderboard!$B$16</c:f>
              <c:strCache>
                <c:ptCount val="1"/>
                <c:pt idx="0">
                  <c:v>JoakimRW</c:v>
                </c:pt>
              </c:strCache>
            </c:strRef>
          </c:tx>
          <c:spPr>
            <a:ln w="22225" cap="rnd">
              <a:solidFill>
                <a:schemeClr val="accent4">
                  <a:tint val="95000"/>
                </a:schemeClr>
              </a:solidFill>
            </a:ln>
            <a:effectLst>
              <a:glow rad="139700">
                <a:schemeClr val="accent4">
                  <a:tint val="9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Leaderboard!$BB$16:$CY$16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19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39</c:v>
                </c:pt>
                <c:pt idx="17">
                  <c:v>39</c:v>
                </c:pt>
                <c:pt idx="18">
                  <c:v>39</c:v>
                </c:pt>
                <c:pt idx="19">
                  <c:v>39</c:v>
                </c:pt>
                <c:pt idx="20">
                  <c:v>39</c:v>
                </c:pt>
                <c:pt idx="21">
                  <c:v>39</c:v>
                </c:pt>
                <c:pt idx="22">
                  <c:v>39</c:v>
                </c:pt>
                <c:pt idx="23">
                  <c:v>39</c:v>
                </c:pt>
                <c:pt idx="24">
                  <c:v>39</c:v>
                </c:pt>
                <c:pt idx="25">
                  <c:v>39</c:v>
                </c:pt>
                <c:pt idx="26">
                  <c:v>39</c:v>
                </c:pt>
                <c:pt idx="27">
                  <c:v>39</c:v>
                </c:pt>
                <c:pt idx="28">
                  <c:v>39</c:v>
                </c:pt>
                <c:pt idx="29">
                  <c:v>39</c:v>
                </c:pt>
                <c:pt idx="30">
                  <c:v>39</c:v>
                </c:pt>
                <c:pt idx="31">
                  <c:v>39</c:v>
                </c:pt>
                <c:pt idx="32">
                  <c:v>39</c:v>
                </c:pt>
                <c:pt idx="33">
                  <c:v>39</c:v>
                </c:pt>
                <c:pt idx="34">
                  <c:v>39</c:v>
                </c:pt>
                <c:pt idx="35">
                  <c:v>39</c:v>
                </c:pt>
                <c:pt idx="36">
                  <c:v>39</c:v>
                </c:pt>
                <c:pt idx="37">
                  <c:v>39</c:v>
                </c:pt>
                <c:pt idx="38">
                  <c:v>39</c:v>
                </c:pt>
                <c:pt idx="39">
                  <c:v>39</c:v>
                </c:pt>
                <c:pt idx="40">
                  <c:v>39</c:v>
                </c:pt>
                <c:pt idx="41">
                  <c:v>39</c:v>
                </c:pt>
                <c:pt idx="42">
                  <c:v>39</c:v>
                </c:pt>
                <c:pt idx="43">
                  <c:v>39</c:v>
                </c:pt>
                <c:pt idx="44">
                  <c:v>39</c:v>
                </c:pt>
                <c:pt idx="45">
                  <c:v>39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29F-47BE-858E-22B3B6716C56}"/>
            </c:ext>
          </c:extLst>
        </c:ser>
        <c:ser>
          <c:idx val="14"/>
          <c:order val="14"/>
          <c:tx>
            <c:strRef>
              <c:f>Leaderboard!$B$17</c:f>
              <c:strCache>
                <c:ptCount val="1"/>
                <c:pt idx="0">
                  <c:v>Xabin</c:v>
                </c:pt>
              </c:strCache>
            </c:strRef>
          </c:tx>
          <c:spPr>
            <a:ln w="22225" cap="rnd">
              <a:solidFill>
                <a:schemeClr val="accent4">
                  <a:tint val="90000"/>
                </a:schemeClr>
              </a:solidFill>
            </a:ln>
            <a:effectLst>
              <a:glow rad="139700">
                <a:schemeClr val="accent4">
                  <a:tint val="9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Leaderboard!$BB$17:$CY$17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39</c:v>
                </c:pt>
                <c:pt idx="4">
                  <c:v>56</c:v>
                </c:pt>
                <c:pt idx="5">
                  <c:v>73</c:v>
                </c:pt>
                <c:pt idx="6">
                  <c:v>95</c:v>
                </c:pt>
                <c:pt idx="7">
                  <c:v>116</c:v>
                </c:pt>
                <c:pt idx="8">
                  <c:v>116</c:v>
                </c:pt>
                <c:pt idx="9">
                  <c:v>116</c:v>
                </c:pt>
                <c:pt idx="10">
                  <c:v>116</c:v>
                </c:pt>
                <c:pt idx="11">
                  <c:v>133</c:v>
                </c:pt>
                <c:pt idx="12">
                  <c:v>150</c:v>
                </c:pt>
                <c:pt idx="13">
                  <c:v>167</c:v>
                </c:pt>
                <c:pt idx="14">
                  <c:v>192</c:v>
                </c:pt>
                <c:pt idx="15">
                  <c:v>215</c:v>
                </c:pt>
                <c:pt idx="16">
                  <c:v>238</c:v>
                </c:pt>
                <c:pt idx="17">
                  <c:v>259</c:v>
                </c:pt>
                <c:pt idx="18">
                  <c:v>279</c:v>
                </c:pt>
                <c:pt idx="19">
                  <c:v>296</c:v>
                </c:pt>
                <c:pt idx="20">
                  <c:v>317</c:v>
                </c:pt>
                <c:pt idx="21">
                  <c:v>338</c:v>
                </c:pt>
                <c:pt idx="22">
                  <c:v>338</c:v>
                </c:pt>
                <c:pt idx="23">
                  <c:v>338</c:v>
                </c:pt>
                <c:pt idx="24">
                  <c:v>338</c:v>
                </c:pt>
                <c:pt idx="25">
                  <c:v>338</c:v>
                </c:pt>
                <c:pt idx="26">
                  <c:v>362</c:v>
                </c:pt>
                <c:pt idx="27">
                  <c:v>362</c:v>
                </c:pt>
                <c:pt idx="28">
                  <c:v>362</c:v>
                </c:pt>
                <c:pt idx="29">
                  <c:v>362</c:v>
                </c:pt>
                <c:pt idx="30">
                  <c:v>362</c:v>
                </c:pt>
                <c:pt idx="31">
                  <c:v>362</c:v>
                </c:pt>
                <c:pt idx="32">
                  <c:v>362</c:v>
                </c:pt>
                <c:pt idx="33">
                  <c:v>362</c:v>
                </c:pt>
                <c:pt idx="34">
                  <c:v>362</c:v>
                </c:pt>
                <c:pt idx="35">
                  <c:v>362</c:v>
                </c:pt>
                <c:pt idx="36">
                  <c:v>362</c:v>
                </c:pt>
                <c:pt idx="37">
                  <c:v>362</c:v>
                </c:pt>
                <c:pt idx="38">
                  <c:v>362</c:v>
                </c:pt>
                <c:pt idx="39">
                  <c:v>362</c:v>
                </c:pt>
                <c:pt idx="40">
                  <c:v>362</c:v>
                </c:pt>
                <c:pt idx="41">
                  <c:v>362</c:v>
                </c:pt>
                <c:pt idx="42">
                  <c:v>362</c:v>
                </c:pt>
                <c:pt idx="43">
                  <c:v>362</c:v>
                </c:pt>
                <c:pt idx="44">
                  <c:v>362</c:v>
                </c:pt>
                <c:pt idx="45">
                  <c:v>362</c:v>
                </c:pt>
                <c:pt idx="46">
                  <c:v>362</c:v>
                </c:pt>
                <c:pt idx="47">
                  <c:v>362</c:v>
                </c:pt>
                <c:pt idx="48">
                  <c:v>362</c:v>
                </c:pt>
                <c:pt idx="49">
                  <c:v>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29F-47BE-858E-22B3B6716C56}"/>
            </c:ext>
          </c:extLst>
        </c:ser>
        <c:ser>
          <c:idx val="15"/>
          <c:order val="15"/>
          <c:tx>
            <c:strRef>
              <c:f>Leaderboard!$B$18</c:f>
              <c:strCache>
                <c:ptCount val="1"/>
                <c:pt idx="0">
                  <c:v>Mazarinen</c:v>
                </c:pt>
              </c:strCache>
            </c:strRef>
          </c:tx>
          <c:spPr>
            <a:ln w="22225" cap="rnd">
              <a:solidFill>
                <a:schemeClr val="accent4">
                  <a:tint val="84000"/>
                </a:schemeClr>
              </a:solidFill>
            </a:ln>
            <a:effectLst>
              <a:glow rad="139700">
                <a:schemeClr val="accent4">
                  <a:tint val="8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Leaderboard!$BB$18:$CY$18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29F-47BE-858E-22B3B6716C56}"/>
            </c:ext>
          </c:extLst>
        </c:ser>
        <c:ser>
          <c:idx val="16"/>
          <c:order val="16"/>
          <c:tx>
            <c:strRef>
              <c:f>Leaderboard!$B$19</c:f>
              <c:strCache>
                <c:ptCount val="1"/>
                <c:pt idx="0">
                  <c:v>hchuphal</c:v>
                </c:pt>
              </c:strCache>
            </c:strRef>
          </c:tx>
          <c:spPr>
            <a:ln w="22225" cap="rnd">
              <a:solidFill>
                <a:schemeClr val="accent4">
                  <a:tint val="79000"/>
                </a:schemeClr>
              </a:solidFill>
            </a:ln>
            <a:effectLst>
              <a:glow rad="139700">
                <a:schemeClr val="accent4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Leaderboard!$BB$19:$CY$19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29F-47BE-858E-22B3B6716C56}"/>
            </c:ext>
          </c:extLst>
        </c:ser>
        <c:ser>
          <c:idx val="17"/>
          <c:order val="17"/>
          <c:tx>
            <c:strRef>
              <c:f>Leaderboard!$B$20</c:f>
              <c:strCache>
                <c:ptCount val="1"/>
                <c:pt idx="0">
                  <c:v>Fredrik Estelius</c:v>
                </c:pt>
              </c:strCache>
            </c:strRef>
          </c:tx>
          <c:spPr>
            <a:ln w="22225" cap="rnd">
              <a:solidFill>
                <a:schemeClr val="accent4">
                  <a:tint val="74000"/>
                </a:schemeClr>
              </a:solidFill>
            </a:ln>
            <a:effectLst>
              <a:glow rad="139700">
                <a:schemeClr val="accent4">
                  <a:tint val="7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Leaderboard!$BB$20:$CY$20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48</c:v>
                </c:pt>
                <c:pt idx="10">
                  <c:v>73</c:v>
                </c:pt>
                <c:pt idx="11">
                  <c:v>97</c:v>
                </c:pt>
                <c:pt idx="12">
                  <c:v>116</c:v>
                </c:pt>
                <c:pt idx="13">
                  <c:v>136</c:v>
                </c:pt>
                <c:pt idx="14">
                  <c:v>136</c:v>
                </c:pt>
                <c:pt idx="15">
                  <c:v>153</c:v>
                </c:pt>
                <c:pt idx="16">
                  <c:v>172</c:v>
                </c:pt>
                <c:pt idx="17">
                  <c:v>191</c:v>
                </c:pt>
                <c:pt idx="18">
                  <c:v>208</c:v>
                </c:pt>
                <c:pt idx="19">
                  <c:v>227</c:v>
                </c:pt>
                <c:pt idx="20">
                  <c:v>245</c:v>
                </c:pt>
                <c:pt idx="21">
                  <c:v>264</c:v>
                </c:pt>
                <c:pt idx="22">
                  <c:v>286</c:v>
                </c:pt>
                <c:pt idx="23">
                  <c:v>310</c:v>
                </c:pt>
                <c:pt idx="24">
                  <c:v>332</c:v>
                </c:pt>
                <c:pt idx="25">
                  <c:v>356</c:v>
                </c:pt>
                <c:pt idx="26">
                  <c:v>356</c:v>
                </c:pt>
                <c:pt idx="27">
                  <c:v>356</c:v>
                </c:pt>
                <c:pt idx="28">
                  <c:v>356</c:v>
                </c:pt>
                <c:pt idx="29">
                  <c:v>356</c:v>
                </c:pt>
                <c:pt idx="30">
                  <c:v>356</c:v>
                </c:pt>
                <c:pt idx="31">
                  <c:v>356</c:v>
                </c:pt>
                <c:pt idx="32">
                  <c:v>356</c:v>
                </c:pt>
                <c:pt idx="33">
                  <c:v>356</c:v>
                </c:pt>
                <c:pt idx="34">
                  <c:v>356</c:v>
                </c:pt>
                <c:pt idx="35">
                  <c:v>356</c:v>
                </c:pt>
                <c:pt idx="36">
                  <c:v>356</c:v>
                </c:pt>
                <c:pt idx="37">
                  <c:v>356</c:v>
                </c:pt>
                <c:pt idx="38">
                  <c:v>356</c:v>
                </c:pt>
                <c:pt idx="39">
                  <c:v>356</c:v>
                </c:pt>
                <c:pt idx="40">
                  <c:v>356</c:v>
                </c:pt>
                <c:pt idx="41">
                  <c:v>356</c:v>
                </c:pt>
                <c:pt idx="42">
                  <c:v>356</c:v>
                </c:pt>
                <c:pt idx="43">
                  <c:v>356</c:v>
                </c:pt>
                <c:pt idx="44">
                  <c:v>356</c:v>
                </c:pt>
                <c:pt idx="45">
                  <c:v>356</c:v>
                </c:pt>
                <c:pt idx="46">
                  <c:v>356</c:v>
                </c:pt>
                <c:pt idx="47">
                  <c:v>356</c:v>
                </c:pt>
                <c:pt idx="48">
                  <c:v>356</c:v>
                </c:pt>
                <c:pt idx="49">
                  <c:v>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29F-47BE-858E-22B3B6716C56}"/>
            </c:ext>
          </c:extLst>
        </c:ser>
        <c:ser>
          <c:idx val="18"/>
          <c:order val="18"/>
          <c:tx>
            <c:strRef>
              <c:f>Leaderboard!$B$21</c:f>
              <c:strCache>
                <c:ptCount val="1"/>
                <c:pt idx="0">
                  <c:v>ull,</c:v>
                </c:pt>
              </c:strCache>
            </c:strRef>
          </c:tx>
          <c:spPr>
            <a:ln w="22225" cap="rnd">
              <a:solidFill>
                <a:schemeClr val="accent4">
                  <a:tint val="68000"/>
                </a:schemeClr>
              </a:solidFill>
            </a:ln>
            <a:effectLst>
              <a:glow rad="139700">
                <a:schemeClr val="accent4">
                  <a:tint val="6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Leaderboard!$BB$21:$CY$21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20</c:v>
                </c:pt>
                <c:pt idx="21">
                  <c:v>40</c:v>
                </c:pt>
                <c:pt idx="22">
                  <c:v>60</c:v>
                </c:pt>
                <c:pt idx="23">
                  <c:v>81</c:v>
                </c:pt>
                <c:pt idx="24">
                  <c:v>99</c:v>
                </c:pt>
                <c:pt idx="25">
                  <c:v>122</c:v>
                </c:pt>
                <c:pt idx="26">
                  <c:v>142</c:v>
                </c:pt>
                <c:pt idx="27">
                  <c:v>164</c:v>
                </c:pt>
                <c:pt idx="28">
                  <c:v>164</c:v>
                </c:pt>
                <c:pt idx="29">
                  <c:v>164</c:v>
                </c:pt>
                <c:pt idx="30">
                  <c:v>164</c:v>
                </c:pt>
                <c:pt idx="31">
                  <c:v>164</c:v>
                </c:pt>
                <c:pt idx="32">
                  <c:v>164</c:v>
                </c:pt>
                <c:pt idx="33">
                  <c:v>164</c:v>
                </c:pt>
                <c:pt idx="34">
                  <c:v>164</c:v>
                </c:pt>
                <c:pt idx="35">
                  <c:v>164</c:v>
                </c:pt>
                <c:pt idx="36">
                  <c:v>164</c:v>
                </c:pt>
                <c:pt idx="37">
                  <c:v>164</c:v>
                </c:pt>
                <c:pt idx="38">
                  <c:v>164</c:v>
                </c:pt>
                <c:pt idx="39">
                  <c:v>164</c:v>
                </c:pt>
                <c:pt idx="40">
                  <c:v>164</c:v>
                </c:pt>
                <c:pt idx="41">
                  <c:v>164</c:v>
                </c:pt>
                <c:pt idx="42">
                  <c:v>164</c:v>
                </c:pt>
                <c:pt idx="43">
                  <c:v>164</c:v>
                </c:pt>
                <c:pt idx="44">
                  <c:v>164</c:v>
                </c:pt>
                <c:pt idx="45">
                  <c:v>164</c:v>
                </c:pt>
                <c:pt idx="46">
                  <c:v>164</c:v>
                </c:pt>
                <c:pt idx="47">
                  <c:v>164</c:v>
                </c:pt>
                <c:pt idx="48">
                  <c:v>164</c:v>
                </c:pt>
                <c:pt idx="49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29F-47BE-858E-22B3B6716C56}"/>
            </c:ext>
          </c:extLst>
        </c:ser>
        <c:ser>
          <c:idx val="19"/>
          <c:order val="19"/>
          <c:tx>
            <c:strRef>
              <c:f>Leaderboard!$B$22</c:f>
              <c:strCache>
                <c:ptCount val="1"/>
                <c:pt idx="0">
                  <c:v>elin andersson</c:v>
                </c:pt>
              </c:strCache>
            </c:strRef>
          </c:tx>
          <c:spPr>
            <a:ln w="22225" cap="rnd">
              <a:solidFill>
                <a:schemeClr val="accent4">
                  <a:tint val="63000"/>
                </a:schemeClr>
              </a:solidFill>
            </a:ln>
            <a:effectLst>
              <a:glow rad="139700">
                <a:schemeClr val="accent4">
                  <a:tint val="6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Leaderboard!$BB$22:$CY$22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56</c:v>
                </c:pt>
                <c:pt idx="19">
                  <c:v>56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56</c:v>
                </c:pt>
                <c:pt idx="27">
                  <c:v>56</c:v>
                </c:pt>
                <c:pt idx="28">
                  <c:v>56</c:v>
                </c:pt>
                <c:pt idx="29">
                  <c:v>56</c:v>
                </c:pt>
                <c:pt idx="30">
                  <c:v>56</c:v>
                </c:pt>
                <c:pt idx="31">
                  <c:v>56</c:v>
                </c:pt>
                <c:pt idx="32">
                  <c:v>56</c:v>
                </c:pt>
                <c:pt idx="33">
                  <c:v>56</c:v>
                </c:pt>
                <c:pt idx="34">
                  <c:v>56</c:v>
                </c:pt>
                <c:pt idx="35">
                  <c:v>56</c:v>
                </c:pt>
                <c:pt idx="36">
                  <c:v>56</c:v>
                </c:pt>
                <c:pt idx="37">
                  <c:v>56</c:v>
                </c:pt>
                <c:pt idx="38">
                  <c:v>56</c:v>
                </c:pt>
                <c:pt idx="39">
                  <c:v>56</c:v>
                </c:pt>
                <c:pt idx="40">
                  <c:v>56</c:v>
                </c:pt>
                <c:pt idx="41">
                  <c:v>56</c:v>
                </c:pt>
                <c:pt idx="42">
                  <c:v>56</c:v>
                </c:pt>
                <c:pt idx="43">
                  <c:v>56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29F-47BE-858E-22B3B6716C56}"/>
            </c:ext>
          </c:extLst>
        </c:ser>
        <c:ser>
          <c:idx val="20"/>
          <c:order val="20"/>
          <c:tx>
            <c:strRef>
              <c:f>Leaderboard!$B$23</c:f>
              <c:strCache>
                <c:ptCount val="1"/>
                <c:pt idx="0">
                  <c:v>Jonatan</c:v>
                </c:pt>
              </c:strCache>
            </c:strRef>
          </c:tx>
          <c:spPr>
            <a:ln w="22225" cap="rnd">
              <a:solidFill>
                <a:schemeClr val="accent4">
                  <a:tint val="57000"/>
                </a:schemeClr>
              </a:solidFill>
            </a:ln>
            <a:effectLst>
              <a:glow rad="139700">
                <a:schemeClr val="accent4">
                  <a:tint val="5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Leaderboard!$BB$23:$CY$23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29F-47BE-858E-22B3B6716C56}"/>
            </c:ext>
          </c:extLst>
        </c:ser>
        <c:ser>
          <c:idx val="21"/>
          <c:order val="21"/>
          <c:tx>
            <c:strRef>
              <c:f>Leaderboard!$B$24</c:f>
              <c:strCache>
                <c:ptCount val="1"/>
                <c:pt idx="0">
                  <c:v>E-K Trombklint</c:v>
                </c:pt>
              </c:strCache>
            </c:strRef>
          </c:tx>
          <c:spPr>
            <a:ln w="22225" cap="rnd">
              <a:solidFill>
                <a:schemeClr val="accent4">
                  <a:tint val="52000"/>
                </a:schemeClr>
              </a:solidFill>
            </a:ln>
            <a:effectLst>
              <a:glow rad="139700">
                <a:schemeClr val="accent4">
                  <a:tint val="5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Leaderboard!$BB$24:$CY$24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18</c:v>
                </c:pt>
                <c:pt idx="3">
                  <c:v>36</c:v>
                </c:pt>
                <c:pt idx="4">
                  <c:v>59</c:v>
                </c:pt>
                <c:pt idx="5">
                  <c:v>84</c:v>
                </c:pt>
                <c:pt idx="6">
                  <c:v>104</c:v>
                </c:pt>
                <c:pt idx="7">
                  <c:v>127</c:v>
                </c:pt>
                <c:pt idx="8">
                  <c:v>144</c:v>
                </c:pt>
                <c:pt idx="9">
                  <c:v>162</c:v>
                </c:pt>
                <c:pt idx="10">
                  <c:v>181</c:v>
                </c:pt>
                <c:pt idx="11">
                  <c:v>201</c:v>
                </c:pt>
                <c:pt idx="12">
                  <c:v>223</c:v>
                </c:pt>
                <c:pt idx="13">
                  <c:v>245</c:v>
                </c:pt>
                <c:pt idx="14">
                  <c:v>264</c:v>
                </c:pt>
                <c:pt idx="15">
                  <c:v>284</c:v>
                </c:pt>
                <c:pt idx="16">
                  <c:v>305</c:v>
                </c:pt>
                <c:pt idx="17">
                  <c:v>329</c:v>
                </c:pt>
                <c:pt idx="18">
                  <c:v>350</c:v>
                </c:pt>
                <c:pt idx="19">
                  <c:v>375</c:v>
                </c:pt>
                <c:pt idx="20">
                  <c:v>375</c:v>
                </c:pt>
                <c:pt idx="21">
                  <c:v>375</c:v>
                </c:pt>
                <c:pt idx="22">
                  <c:v>375</c:v>
                </c:pt>
                <c:pt idx="23">
                  <c:v>375</c:v>
                </c:pt>
                <c:pt idx="24">
                  <c:v>375</c:v>
                </c:pt>
                <c:pt idx="25">
                  <c:v>375</c:v>
                </c:pt>
                <c:pt idx="26">
                  <c:v>375</c:v>
                </c:pt>
                <c:pt idx="27">
                  <c:v>375</c:v>
                </c:pt>
                <c:pt idx="28">
                  <c:v>375</c:v>
                </c:pt>
                <c:pt idx="29">
                  <c:v>375</c:v>
                </c:pt>
                <c:pt idx="30">
                  <c:v>375</c:v>
                </c:pt>
                <c:pt idx="31">
                  <c:v>375</c:v>
                </c:pt>
                <c:pt idx="32">
                  <c:v>375</c:v>
                </c:pt>
                <c:pt idx="33">
                  <c:v>375</c:v>
                </c:pt>
                <c:pt idx="34">
                  <c:v>375</c:v>
                </c:pt>
                <c:pt idx="35">
                  <c:v>375</c:v>
                </c:pt>
                <c:pt idx="36">
                  <c:v>375</c:v>
                </c:pt>
                <c:pt idx="37">
                  <c:v>375</c:v>
                </c:pt>
                <c:pt idx="38">
                  <c:v>375</c:v>
                </c:pt>
                <c:pt idx="39">
                  <c:v>375</c:v>
                </c:pt>
                <c:pt idx="40">
                  <c:v>375</c:v>
                </c:pt>
                <c:pt idx="41">
                  <c:v>375</c:v>
                </c:pt>
                <c:pt idx="42">
                  <c:v>375</c:v>
                </c:pt>
                <c:pt idx="43">
                  <c:v>375</c:v>
                </c:pt>
                <c:pt idx="44">
                  <c:v>375</c:v>
                </c:pt>
                <c:pt idx="45">
                  <c:v>375</c:v>
                </c:pt>
                <c:pt idx="46">
                  <c:v>375</c:v>
                </c:pt>
                <c:pt idx="47">
                  <c:v>375</c:v>
                </c:pt>
                <c:pt idx="48">
                  <c:v>375</c:v>
                </c:pt>
                <c:pt idx="49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29F-47BE-858E-22B3B6716C56}"/>
            </c:ext>
          </c:extLst>
        </c:ser>
        <c:ser>
          <c:idx val="22"/>
          <c:order val="22"/>
          <c:tx>
            <c:strRef>
              <c:f>Leaderboard!$B$25</c:f>
              <c:strCache>
                <c:ptCount val="1"/>
                <c:pt idx="0">
                  <c:v>Rickard Englund</c:v>
                </c:pt>
              </c:strCache>
            </c:strRef>
          </c:tx>
          <c:spPr>
            <a:ln w="22225" cap="rnd">
              <a:solidFill>
                <a:schemeClr val="accent4">
                  <a:tint val="47000"/>
                </a:schemeClr>
              </a:solidFill>
            </a:ln>
            <a:effectLst>
              <a:glow rad="139700">
                <a:schemeClr val="accent4">
                  <a:tint val="4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Leaderboard!$BB$25:$CY$25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48</c:v>
                </c:pt>
                <c:pt idx="4">
                  <c:v>72</c:v>
                </c:pt>
                <c:pt idx="5">
                  <c:v>96</c:v>
                </c:pt>
                <c:pt idx="6">
                  <c:v>120</c:v>
                </c:pt>
                <c:pt idx="7">
                  <c:v>144</c:v>
                </c:pt>
                <c:pt idx="8">
                  <c:v>166</c:v>
                </c:pt>
                <c:pt idx="9">
                  <c:v>188</c:v>
                </c:pt>
                <c:pt idx="10">
                  <c:v>210</c:v>
                </c:pt>
                <c:pt idx="11">
                  <c:v>232</c:v>
                </c:pt>
                <c:pt idx="12">
                  <c:v>256</c:v>
                </c:pt>
                <c:pt idx="13">
                  <c:v>281</c:v>
                </c:pt>
                <c:pt idx="14">
                  <c:v>305</c:v>
                </c:pt>
                <c:pt idx="15">
                  <c:v>329</c:v>
                </c:pt>
                <c:pt idx="16">
                  <c:v>351</c:v>
                </c:pt>
                <c:pt idx="17">
                  <c:v>373</c:v>
                </c:pt>
                <c:pt idx="18">
                  <c:v>396</c:v>
                </c:pt>
                <c:pt idx="19">
                  <c:v>420</c:v>
                </c:pt>
                <c:pt idx="20">
                  <c:v>445</c:v>
                </c:pt>
                <c:pt idx="21">
                  <c:v>469</c:v>
                </c:pt>
                <c:pt idx="22">
                  <c:v>490</c:v>
                </c:pt>
                <c:pt idx="23">
                  <c:v>510</c:v>
                </c:pt>
                <c:pt idx="24">
                  <c:v>531</c:v>
                </c:pt>
                <c:pt idx="25">
                  <c:v>551</c:v>
                </c:pt>
                <c:pt idx="26">
                  <c:v>574</c:v>
                </c:pt>
                <c:pt idx="27">
                  <c:v>599</c:v>
                </c:pt>
                <c:pt idx="28">
                  <c:v>599</c:v>
                </c:pt>
                <c:pt idx="29">
                  <c:v>599</c:v>
                </c:pt>
                <c:pt idx="30">
                  <c:v>599</c:v>
                </c:pt>
                <c:pt idx="31">
                  <c:v>599</c:v>
                </c:pt>
                <c:pt idx="32">
                  <c:v>599</c:v>
                </c:pt>
                <c:pt idx="33">
                  <c:v>599</c:v>
                </c:pt>
                <c:pt idx="34">
                  <c:v>599</c:v>
                </c:pt>
                <c:pt idx="35">
                  <c:v>599</c:v>
                </c:pt>
                <c:pt idx="36">
                  <c:v>599</c:v>
                </c:pt>
                <c:pt idx="37">
                  <c:v>599</c:v>
                </c:pt>
                <c:pt idx="38">
                  <c:v>599</c:v>
                </c:pt>
                <c:pt idx="39">
                  <c:v>599</c:v>
                </c:pt>
                <c:pt idx="40">
                  <c:v>599</c:v>
                </c:pt>
                <c:pt idx="41">
                  <c:v>599</c:v>
                </c:pt>
                <c:pt idx="42">
                  <c:v>599</c:v>
                </c:pt>
                <c:pt idx="43">
                  <c:v>599</c:v>
                </c:pt>
                <c:pt idx="44">
                  <c:v>599</c:v>
                </c:pt>
                <c:pt idx="45">
                  <c:v>599</c:v>
                </c:pt>
                <c:pt idx="46">
                  <c:v>599</c:v>
                </c:pt>
                <c:pt idx="47">
                  <c:v>599</c:v>
                </c:pt>
                <c:pt idx="48">
                  <c:v>599</c:v>
                </c:pt>
                <c:pt idx="49">
                  <c:v>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29F-47BE-858E-22B3B6716C56}"/>
            </c:ext>
          </c:extLst>
        </c:ser>
        <c:ser>
          <c:idx val="23"/>
          <c:order val="23"/>
          <c:tx>
            <c:strRef>
              <c:f>Leaderboard!$B$26</c:f>
              <c:strCache>
                <c:ptCount val="1"/>
                <c:pt idx="0">
                  <c:v>BjÃ¶rn Norgren</c:v>
                </c:pt>
              </c:strCache>
            </c:strRef>
          </c:tx>
          <c:spPr>
            <a:ln w="22225" cap="rnd">
              <a:solidFill>
                <a:schemeClr val="accent4">
                  <a:tint val="41000"/>
                </a:schemeClr>
              </a:solidFill>
            </a:ln>
            <a:effectLst>
              <a:glow rad="139700">
                <a:schemeClr val="accent4">
                  <a:tint val="4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Leaderboard!$BB$26:$CY$26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29F-47BE-858E-22B3B6716C56}"/>
            </c:ext>
          </c:extLst>
        </c:ser>
        <c:ser>
          <c:idx val="24"/>
          <c:order val="24"/>
          <c:tx>
            <c:strRef>
              <c:f>Leaderboard!$B$27</c:f>
              <c:strCache>
                <c:ptCount val="1"/>
                <c:pt idx="0">
                  <c:v>Erik Holmberg</c:v>
                </c:pt>
              </c:strCache>
            </c:strRef>
          </c:tx>
          <c:spPr>
            <a:ln w="22225" cap="rnd">
              <a:solidFill>
                <a:schemeClr val="accent4">
                  <a:tint val="36000"/>
                </a:schemeClr>
              </a:solidFill>
            </a:ln>
            <a:effectLst>
              <a:glow rad="139700">
                <a:schemeClr val="accent4">
                  <a:tint val="3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Leaderboard!$BB$27:$CY$27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23</c:v>
                </c:pt>
                <c:pt idx="3">
                  <c:v>46</c:v>
                </c:pt>
                <c:pt idx="4">
                  <c:v>68</c:v>
                </c:pt>
                <c:pt idx="5">
                  <c:v>90</c:v>
                </c:pt>
                <c:pt idx="6">
                  <c:v>109</c:v>
                </c:pt>
                <c:pt idx="7">
                  <c:v>128</c:v>
                </c:pt>
                <c:pt idx="8">
                  <c:v>151</c:v>
                </c:pt>
                <c:pt idx="9">
                  <c:v>174</c:v>
                </c:pt>
                <c:pt idx="10">
                  <c:v>198</c:v>
                </c:pt>
                <c:pt idx="11">
                  <c:v>223</c:v>
                </c:pt>
                <c:pt idx="12">
                  <c:v>246</c:v>
                </c:pt>
                <c:pt idx="13">
                  <c:v>269</c:v>
                </c:pt>
                <c:pt idx="14">
                  <c:v>291</c:v>
                </c:pt>
                <c:pt idx="15">
                  <c:v>312</c:v>
                </c:pt>
                <c:pt idx="16">
                  <c:v>332</c:v>
                </c:pt>
                <c:pt idx="17">
                  <c:v>352</c:v>
                </c:pt>
                <c:pt idx="18">
                  <c:v>374</c:v>
                </c:pt>
                <c:pt idx="19">
                  <c:v>397</c:v>
                </c:pt>
                <c:pt idx="20">
                  <c:v>420</c:v>
                </c:pt>
                <c:pt idx="21">
                  <c:v>443</c:v>
                </c:pt>
                <c:pt idx="22">
                  <c:v>466</c:v>
                </c:pt>
                <c:pt idx="23">
                  <c:v>491</c:v>
                </c:pt>
                <c:pt idx="24">
                  <c:v>514</c:v>
                </c:pt>
                <c:pt idx="25">
                  <c:v>539</c:v>
                </c:pt>
                <c:pt idx="26">
                  <c:v>560</c:v>
                </c:pt>
                <c:pt idx="27">
                  <c:v>584</c:v>
                </c:pt>
                <c:pt idx="28">
                  <c:v>584</c:v>
                </c:pt>
                <c:pt idx="29">
                  <c:v>584</c:v>
                </c:pt>
                <c:pt idx="30">
                  <c:v>584</c:v>
                </c:pt>
                <c:pt idx="31">
                  <c:v>584</c:v>
                </c:pt>
                <c:pt idx="32">
                  <c:v>584</c:v>
                </c:pt>
                <c:pt idx="33">
                  <c:v>584</c:v>
                </c:pt>
                <c:pt idx="34">
                  <c:v>584</c:v>
                </c:pt>
                <c:pt idx="35">
                  <c:v>584</c:v>
                </c:pt>
                <c:pt idx="36">
                  <c:v>584</c:v>
                </c:pt>
                <c:pt idx="37">
                  <c:v>584</c:v>
                </c:pt>
                <c:pt idx="38">
                  <c:v>584</c:v>
                </c:pt>
                <c:pt idx="39">
                  <c:v>584</c:v>
                </c:pt>
                <c:pt idx="40">
                  <c:v>584</c:v>
                </c:pt>
                <c:pt idx="41">
                  <c:v>584</c:v>
                </c:pt>
                <c:pt idx="42">
                  <c:v>584</c:v>
                </c:pt>
                <c:pt idx="43">
                  <c:v>584</c:v>
                </c:pt>
                <c:pt idx="44">
                  <c:v>584</c:v>
                </c:pt>
                <c:pt idx="45">
                  <c:v>584</c:v>
                </c:pt>
                <c:pt idx="46">
                  <c:v>584</c:v>
                </c:pt>
                <c:pt idx="47">
                  <c:v>584</c:v>
                </c:pt>
                <c:pt idx="48">
                  <c:v>584</c:v>
                </c:pt>
                <c:pt idx="49">
                  <c:v>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29F-47BE-858E-22B3B6716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634080"/>
        <c:axId val="517634408"/>
      </c:lineChart>
      <c:catAx>
        <c:axId val="51763408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34408"/>
        <c:crosses val="autoZero"/>
        <c:auto val="1"/>
        <c:lblAlgn val="ctr"/>
        <c:lblOffset val="100"/>
        <c:noMultiLvlLbl val="0"/>
      </c:catAx>
      <c:valAx>
        <c:axId val="5176344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3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18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T22"/>
  <sheetViews>
    <sheetView workbookViewId="0">
      <selection activeCell="D4" sqref="D4"/>
    </sheetView>
  </sheetViews>
  <sheetFormatPr defaultRowHeight="15" x14ac:dyDescent="0.25"/>
  <cols>
    <col min="1" max="1" width="2.85546875" customWidth="1"/>
    <col min="2" max="2" width="12.140625" customWidth="1"/>
    <col min="3" max="3" width="51" customWidth="1"/>
    <col min="4" max="4" width="47" customWidth="1"/>
    <col min="5" max="5" width="39.85546875" hidden="1" customWidth="1"/>
    <col min="6" max="10" width="28.5703125" hidden="1" customWidth="1"/>
    <col min="11" max="20" width="5.7109375" hidden="1" customWidth="1"/>
    <col min="21" max="21" width="2.85546875" customWidth="1"/>
  </cols>
  <sheetData>
    <row r="1" spans="2:20" ht="15.75" thickBot="1" x14ac:dyDescent="0.3"/>
    <row r="2" spans="2:20" ht="15" customHeight="1" thickBot="1" x14ac:dyDescent="0.3">
      <c r="B2" s="2" t="s">
        <v>1</v>
      </c>
      <c r="C2" s="3" t="s">
        <v>7</v>
      </c>
      <c r="D2" s="4" t="s">
        <v>0</v>
      </c>
      <c r="F2" t="s">
        <v>2</v>
      </c>
      <c r="G2" t="s">
        <v>3</v>
      </c>
      <c r="H2" t="s">
        <v>4</v>
      </c>
      <c r="I2" t="s">
        <v>5</v>
      </c>
      <c r="J2" t="s">
        <v>6</v>
      </c>
    </row>
    <row r="3" spans="2:20" ht="75" customHeight="1" x14ac:dyDescent="0.25">
      <c r="B3" s="5">
        <f t="shared" ref="B3:B8" si="0">B4+1</f>
        <v>44180</v>
      </c>
      <c r="C3" s="6" t="e">
        <f>SUBSTITUTE(SUBSTITUTE(SUBSTITUTE(SUBSTITUTE(SUBSTITUTE(SUBSTITUTE(SUBSTITUTE(E3, "1) " &amp; K3, "1) +" &amp; P3 &amp; " "), "2) " &amp; L3, "2) +" &amp; Q3 &amp; " "), "3) " &amp; M3, "3) +" &amp; R3 &amp; " "), "4) " &amp; N3, "4) +" &amp; S3 &amp; " "), "5) " &amp; O3, "5) +" &amp; T3 &amp; " "), "+-", "-"), "+0 ", "")</f>
        <v>#VALUE!</v>
      </c>
      <c r="D3" s="7"/>
      <c r="E3" s="1" t="str">
        <f>SUBSTITUTE(SUBSTITUTE(SUBSTITUTE(D3, "*", ""),"  ","")," (AoC++)","")</f>
        <v/>
      </c>
      <c r="F3" t="e">
        <f t="shared" ref="F3:I9" si="1">MID($E3,3+FIND(F$2, $E3),FIND("
", MID($E3,FIND(F$2, $E3),100))-3)</f>
        <v>#VALUE!</v>
      </c>
      <c r="G3" t="e">
        <f t="shared" si="1"/>
        <v>#VALUE!</v>
      </c>
      <c r="H3" t="e">
        <f t="shared" si="1"/>
        <v>#VALUE!</v>
      </c>
      <c r="I3" t="e">
        <f t="shared" si="1"/>
        <v>#VALUE!</v>
      </c>
      <c r="J3" t="e">
        <f t="shared" ref="J3:J9" si="2">MID($E3,3+FIND(J$2, $E3),100)</f>
        <v>#VALUE!</v>
      </c>
      <c r="K3" t="e">
        <f>MID(F3,1, FIND(" ",F3))</f>
        <v>#VALUE!</v>
      </c>
      <c r="L3" t="e">
        <f>MID(G3,1, FIND(" ",G3))</f>
        <v>#VALUE!</v>
      </c>
      <c r="M3" t="e">
        <f>MID(H3,1, FIND(" ",H3))</f>
        <v>#VALUE!</v>
      </c>
      <c r="N3" t="e">
        <f>MID(I3,1, FIND(" ",I3))</f>
        <v>#VALUE!</v>
      </c>
      <c r="O3" t="e">
        <f>MID(J3,1, FIND(" ",J3))</f>
        <v>#VALUE!</v>
      </c>
      <c r="P3" t="e">
        <f>MID(F3,1, FIND(" ",F3))
-IF(IFERROR(FIND("Liljeroth",$F3),0)&gt;0,_xlfn.NUMBERVALUE(MID($F3,1, FIND(" ",$F3))),0)
-IF(IFERROR(FIND("Liljeroth",$G3),0)&gt;0,_xlfn.NUMBERVALUE(MID($G3,1, FIND(" ",$G3))),0)
-IF(IFERROR(FIND("Liljeroth",$H3),0)&gt;0,_xlfn.NUMBERVALUE(MID($H3,1, FIND(" ",$H3))),0)
-IF(IFERROR(FIND("Liljeroth",$I3),0)&gt;0,_xlfn.NUMBERVALUE(MID($I3,1, FIND(" ",$I3))),0)
-IF(IFERROR(FIND("Liljeroth",$J3),0)&gt;0,_xlfn.NUMBERVALUE(MID($J3,1, FIND(" ",$J3))),0)</f>
        <v>#VALUE!</v>
      </c>
      <c r="Q3" t="e">
        <f>MID(G3,1, FIND(" ",G3))
-IF(IFERROR(FIND("Liljeroth",$F3),0)&gt;0,_xlfn.NUMBERVALUE(MID($F3,1, FIND(" ",$F3))),0)
-IF(IFERROR(FIND("Liljeroth",$G3),0)&gt;0,_xlfn.NUMBERVALUE(MID($G3,1, FIND(" ",$G3))),0)
-IF(IFERROR(FIND("Liljeroth",$H3),0)&gt;0,_xlfn.NUMBERVALUE(MID($H3,1, FIND(" ",$H3))),0)
-IF(IFERROR(FIND("Liljeroth",$I3),0)&gt;0,_xlfn.NUMBERVALUE(MID($I3,1, FIND(" ",$I3))),0)
-IF(IFERROR(FIND("Liljeroth",$J3),0)&gt;0,_xlfn.NUMBERVALUE(MID($J3,1, FIND(" ",$J3))),0)</f>
        <v>#VALUE!</v>
      </c>
      <c r="R3" t="e">
        <f>MID(H3,1, FIND(" ",H3))
-IF(IFERROR(FIND("Liljeroth",$F3),0)&gt;0,_xlfn.NUMBERVALUE(MID($F3,1, FIND(" ",$F3))),0)
-IF(IFERROR(FIND("Liljeroth",$G3),0)&gt;0,_xlfn.NUMBERVALUE(MID($G3,1, FIND(" ",$G3))),0)
-IF(IFERROR(FIND("Liljeroth",$H3),0)&gt;0,_xlfn.NUMBERVALUE(MID($H3,1, FIND(" ",$H3))),0)
-IF(IFERROR(FIND("Liljeroth",$I3),0)&gt;0,_xlfn.NUMBERVALUE(MID($I3,1, FIND(" ",$I3))),0)
-IF(IFERROR(FIND("Liljeroth",$J3),0)&gt;0,_xlfn.NUMBERVALUE(MID($J3,1, FIND(" ",$J3))),0)</f>
        <v>#VALUE!</v>
      </c>
      <c r="S3" t="e">
        <f>MID(I3,1, FIND(" ",I3))
-IF(IFERROR(FIND("Liljeroth",$F3),0)&gt;0,_xlfn.NUMBERVALUE(MID($F3,1, FIND(" ",$F3))),0)
-IF(IFERROR(FIND("Liljeroth",$G3),0)&gt;0,_xlfn.NUMBERVALUE(MID($G3,1, FIND(" ",$G3))),0)
-IF(IFERROR(FIND("Liljeroth",$H3),0)&gt;0,_xlfn.NUMBERVALUE(MID($H3,1, FIND(" ",$H3))),0)
-IF(IFERROR(FIND("Liljeroth",$I3),0)&gt;0,_xlfn.NUMBERVALUE(MID($I3,1, FIND(" ",$I3))),0)
-IF(IFERROR(FIND("Liljeroth",$J3),0)&gt;0,_xlfn.NUMBERVALUE(MID($J3,1, FIND(" ",$J3))),0)</f>
        <v>#VALUE!</v>
      </c>
      <c r="T3" t="e">
        <f>MID(J3,1, FIND(" ",J3))
-IF(IFERROR(FIND("Liljeroth",$F3),0)&gt;0,_xlfn.NUMBERVALUE(MID($F3,1, FIND(" ",$F3))),0)
-IF(IFERROR(FIND("Liljeroth",$G3),0)&gt;0,_xlfn.NUMBERVALUE(MID($G3,1, FIND(" ",$G3))),0)
-IF(IFERROR(FIND("Liljeroth",$H3),0)&gt;0,_xlfn.NUMBERVALUE(MID($H3,1, FIND(" ",$H3))),0)
-IF(IFERROR(FIND("Liljeroth",$I3),0)&gt;0,_xlfn.NUMBERVALUE(MID($I3,1, FIND(" ",$I3))),0)
-IF(IFERROR(FIND("Liljeroth",$J3),0)&gt;0,_xlfn.NUMBERVALUE(MID($J3,1, FIND(" ",$J3))),0)</f>
        <v>#VALUE!</v>
      </c>
    </row>
    <row r="4" spans="2:20" ht="75" customHeight="1" x14ac:dyDescent="0.25">
      <c r="B4" s="5">
        <f t="shared" si="0"/>
        <v>44179</v>
      </c>
      <c r="C4" s="6" t="str">
        <f t="shared" ref="C4:C9" si="3">SUBSTITUTE(SUBSTITUTE(SUBSTITUTE(SUBSTITUTE(SUBSTITUTE(SUBSTITUTE(SUBSTITUTE(E4, "1) " &amp; K4, "1) +" &amp; P4 &amp; " "), "2) " &amp; L4, "2) +" &amp; Q4 &amp; " "), "3) " &amp; M4, "3) +" &amp; R4 &amp; " "), "4) " &amp; N4, "4) +" &amp; S4 &amp; " "), "5) " &amp; O4, "5) +" &amp; T4 &amp; " "), "+-", "-"), "+0 ", "")</f>
        <v xml:space="preserve"> 1) +29 Daniel Sjöholm
 2) +21 Rickard Englund
 3) +6 Erik Holmberg
 4) Anthon Liljeroth
 5) -118 Xabin</v>
      </c>
      <c r="D4" s="7" t="s">
        <v>13</v>
      </c>
      <c r="E4" s="1" t="str">
        <f t="shared" ref="E4:E9" si="4">SUBSTITUTE(SUBSTITUTE(SUBSTITUTE(D4, "*", ""),"  ","")," (AoC++)","")</f>
        <v xml:space="preserve"> 1) 605 Daniel Sjöholm
 2) 597 Rickard Englund
 3) 582 Erik Holmberg
 4) 576 Anthon Liljeroth
 5) 458 Xabin</v>
      </c>
      <c r="F4" t="str">
        <f t="shared" si="1"/>
        <v xml:space="preserve">605 Daniel Sjöholm
</v>
      </c>
      <c r="G4" t="str">
        <f t="shared" si="1"/>
        <v xml:space="preserve">597 Rickard Englund
</v>
      </c>
      <c r="H4" t="str">
        <f t="shared" si="1"/>
        <v xml:space="preserve">582 Erik Holmberg
</v>
      </c>
      <c r="I4" t="str">
        <f t="shared" si="1"/>
        <v xml:space="preserve">576 Anthon Liljeroth
</v>
      </c>
      <c r="J4" t="str">
        <f t="shared" si="2"/>
        <v>458 Xabin</v>
      </c>
      <c r="K4" t="str">
        <f t="shared" ref="K4:O5" si="5">MID(F4,1, FIND(" ",F4))</f>
        <v xml:space="preserve">605 </v>
      </c>
      <c r="L4" t="str">
        <f t="shared" si="5"/>
        <v xml:space="preserve">597 </v>
      </c>
      <c r="M4" t="str">
        <f t="shared" si="5"/>
        <v xml:space="preserve">582 </v>
      </c>
      <c r="N4" t="str">
        <f t="shared" si="5"/>
        <v xml:space="preserve">576 </v>
      </c>
      <c r="O4" t="str">
        <f t="shared" si="5"/>
        <v xml:space="preserve">458 </v>
      </c>
      <c r="P4">
        <f t="shared" ref="P4:T5" si="6">MID(F4,1, FIND(" ",F4))
-IF(IFERROR(FIND("Liljeroth",$F4),0)&gt;0,_xlfn.NUMBERVALUE(MID($F4,1, FIND(" ",$F4))),0)
-IF(IFERROR(FIND("Liljeroth",$G4),0)&gt;0,_xlfn.NUMBERVALUE(MID($G4,1, FIND(" ",$G4))),0)
-IF(IFERROR(FIND("Liljeroth",$H4),0)&gt;0,_xlfn.NUMBERVALUE(MID($H4,1, FIND(" ",$H4))),0)
-IF(IFERROR(FIND("Liljeroth",$I4),0)&gt;0,_xlfn.NUMBERVALUE(MID($I4,1, FIND(" ",$I4))),0)
-IF(IFERROR(FIND("Liljeroth",$J4),0)&gt;0,_xlfn.NUMBERVALUE(MID($J4,1, FIND(" ",$J4))),0)</f>
        <v>29</v>
      </c>
      <c r="Q4">
        <f t="shared" si="6"/>
        <v>21</v>
      </c>
      <c r="R4">
        <f t="shared" si="6"/>
        <v>6</v>
      </c>
      <c r="S4">
        <f t="shared" si="6"/>
        <v>0</v>
      </c>
      <c r="T4">
        <f t="shared" si="6"/>
        <v>-118</v>
      </c>
    </row>
    <row r="5" spans="2:20" ht="75" customHeight="1" x14ac:dyDescent="0.25">
      <c r="B5" s="5">
        <f t="shared" si="0"/>
        <v>44178</v>
      </c>
      <c r="C5" s="6" t="str">
        <f t="shared" si="3"/>
        <v xml:space="preserve"> 1) +49 Daniel Sjöholm
 2) +18 Rickard Englund
 3) +6 Erik Holmberg
 4) Anthon Liljeroth
 5) -80 Fredrik Estelius</v>
      </c>
      <c r="D5" s="7" t="s">
        <v>12</v>
      </c>
      <c r="E5" s="1" t="str">
        <f t="shared" si="4"/>
        <v xml:space="preserve"> 1) 580 Daniel Sjöholm
 2) 549 Rickard Englund
 3) 537 Erik Holmberg
 4) 531 Anthon Liljeroth
 5) 451 Fredrik Estelius</v>
      </c>
      <c r="F5" t="str">
        <f t="shared" si="1"/>
        <v xml:space="preserve">580 Daniel Sjöholm
</v>
      </c>
      <c r="G5" t="str">
        <f t="shared" si="1"/>
        <v xml:space="preserve">549 Rickard Englund
</v>
      </c>
      <c r="H5" t="str">
        <f t="shared" si="1"/>
        <v xml:space="preserve">537 Erik Holmberg
</v>
      </c>
      <c r="I5" t="str">
        <f t="shared" si="1"/>
        <v xml:space="preserve">531 Anthon Liljeroth
</v>
      </c>
      <c r="J5" t="str">
        <f t="shared" si="2"/>
        <v>451 Fredrik Estelius</v>
      </c>
      <c r="K5" t="str">
        <f t="shared" si="5"/>
        <v xml:space="preserve">580 </v>
      </c>
      <c r="L5" t="str">
        <f t="shared" si="5"/>
        <v xml:space="preserve">549 </v>
      </c>
      <c r="M5" t="str">
        <f t="shared" si="5"/>
        <v xml:space="preserve">537 </v>
      </c>
      <c r="N5" t="str">
        <f t="shared" si="5"/>
        <v xml:space="preserve">531 </v>
      </c>
      <c r="O5" t="str">
        <f t="shared" si="5"/>
        <v xml:space="preserve">451 </v>
      </c>
      <c r="P5">
        <f t="shared" si="6"/>
        <v>49</v>
      </c>
      <c r="Q5">
        <f t="shared" si="6"/>
        <v>18</v>
      </c>
      <c r="R5">
        <f t="shared" si="6"/>
        <v>6</v>
      </c>
      <c r="S5">
        <f t="shared" si="6"/>
        <v>0</v>
      </c>
      <c r="T5">
        <f t="shared" si="6"/>
        <v>-80</v>
      </c>
    </row>
    <row r="6" spans="2:20" ht="75" customHeight="1" x14ac:dyDescent="0.25">
      <c r="B6" s="5">
        <f t="shared" si="0"/>
        <v>44177</v>
      </c>
      <c r="C6" s="6" t="str">
        <f t="shared" si="3"/>
        <v xml:space="preserve"> 1) +51 Daniel Sjöholm
 2) +24 Rickard Englund
 3) +5 Erik Holmberg
 4) Anthon Liljeroth
 5) -66 Xabin</v>
      </c>
      <c r="D6" s="7" t="s">
        <v>11</v>
      </c>
      <c r="E6" s="1" t="str">
        <f t="shared" si="4"/>
        <v xml:space="preserve"> 1) 535 Daniel Sjöholm
 2) 508 Rickard Englund
 3) 489 Erik Holmberg
 4) 484 Anthon Liljeroth
 5) 418 Xabin</v>
      </c>
      <c r="F6" t="str">
        <f t="shared" si="1"/>
        <v xml:space="preserve">535 Daniel Sjöholm
</v>
      </c>
      <c r="G6" t="str">
        <f t="shared" si="1"/>
        <v xml:space="preserve">508 Rickard Englund
</v>
      </c>
      <c r="H6" t="str">
        <f t="shared" si="1"/>
        <v xml:space="preserve">489 Erik Holmberg
</v>
      </c>
      <c r="I6" t="str">
        <f t="shared" si="1"/>
        <v xml:space="preserve">484 Anthon Liljeroth
</v>
      </c>
      <c r="J6" t="str">
        <f t="shared" si="2"/>
        <v>418 Xabin</v>
      </c>
      <c r="K6" t="str">
        <f t="shared" ref="K6:O7" si="7">MID(F6,1, FIND(" ",F6))</f>
        <v xml:space="preserve">535 </v>
      </c>
      <c r="L6" t="str">
        <f t="shared" si="7"/>
        <v xml:space="preserve">508 </v>
      </c>
      <c r="M6" t="str">
        <f t="shared" si="7"/>
        <v xml:space="preserve">489 </v>
      </c>
      <c r="N6" t="str">
        <f t="shared" si="7"/>
        <v xml:space="preserve">484 </v>
      </c>
      <c r="O6" t="str">
        <f t="shared" si="7"/>
        <v xml:space="preserve">418 </v>
      </c>
      <c r="P6">
        <f t="shared" ref="P6:T7" si="8">MID(F6,1, FIND(" ",F6))
-IF(IFERROR(FIND("Liljeroth",$F6),0)&gt;0,_xlfn.NUMBERVALUE(MID($F6,1, FIND(" ",$F6))),0)
-IF(IFERROR(FIND("Liljeroth",$G6),0)&gt;0,_xlfn.NUMBERVALUE(MID($G6,1, FIND(" ",$G6))),0)
-IF(IFERROR(FIND("Liljeroth",$H6),0)&gt;0,_xlfn.NUMBERVALUE(MID($H6,1, FIND(" ",$H6))),0)
-IF(IFERROR(FIND("Liljeroth",$I6),0)&gt;0,_xlfn.NUMBERVALUE(MID($I6,1, FIND(" ",$I6))),0)
-IF(IFERROR(FIND("Liljeroth",$J6),0)&gt;0,_xlfn.NUMBERVALUE(MID($J6,1, FIND(" ",$J6))),0)</f>
        <v>51</v>
      </c>
      <c r="Q6">
        <f t="shared" si="8"/>
        <v>24</v>
      </c>
      <c r="R6">
        <f t="shared" si="8"/>
        <v>5</v>
      </c>
      <c r="S6">
        <f t="shared" si="8"/>
        <v>0</v>
      </c>
      <c r="T6">
        <f t="shared" si="8"/>
        <v>-66</v>
      </c>
    </row>
    <row r="7" spans="2:20" ht="75" customHeight="1" x14ac:dyDescent="0.25">
      <c r="B7" s="5">
        <f t="shared" si="0"/>
        <v>44176</v>
      </c>
      <c r="C7" s="6" t="str">
        <f t="shared" si="3"/>
        <v xml:space="preserve"> 1) +50 Daniel Sjöholm
 2) +31 Rickard Englund
 3) +6 Erik Holmberg
 4) Anthon Liljeroth
 5) -50 Xabin</v>
      </c>
      <c r="D7" s="7" t="s">
        <v>10</v>
      </c>
      <c r="E7" s="1" t="str">
        <f t="shared" si="4"/>
        <v xml:space="preserve"> 1) 466 Daniel Sjöholm
 2) 447 Rickard Englund
 3) 422 Erik Holmberg
 4) 416 Anthon Liljeroth
 5) 366 Xabin</v>
      </c>
      <c r="F7" t="str">
        <f t="shared" si="1"/>
        <v xml:space="preserve">466 Daniel Sjöholm
</v>
      </c>
      <c r="G7" t="str">
        <f t="shared" si="1"/>
        <v xml:space="preserve">447 Rickard Englund
</v>
      </c>
      <c r="H7" t="str">
        <f t="shared" si="1"/>
        <v xml:space="preserve">422 Erik Holmberg
</v>
      </c>
      <c r="I7" t="str">
        <f t="shared" si="1"/>
        <v xml:space="preserve">416 Anthon Liljeroth
</v>
      </c>
      <c r="J7" t="str">
        <f t="shared" si="2"/>
        <v>366 Xabin</v>
      </c>
      <c r="K7" t="str">
        <f t="shared" si="7"/>
        <v xml:space="preserve">466 </v>
      </c>
      <c r="L7" t="str">
        <f t="shared" si="7"/>
        <v xml:space="preserve">447 </v>
      </c>
      <c r="M7" t="str">
        <f t="shared" si="7"/>
        <v xml:space="preserve">422 </v>
      </c>
      <c r="N7" t="str">
        <f t="shared" si="7"/>
        <v xml:space="preserve">416 </v>
      </c>
      <c r="O7" t="str">
        <f t="shared" si="7"/>
        <v xml:space="preserve">366 </v>
      </c>
      <c r="P7">
        <f t="shared" si="8"/>
        <v>50</v>
      </c>
      <c r="Q7">
        <f t="shared" si="8"/>
        <v>31</v>
      </c>
      <c r="R7">
        <f t="shared" si="8"/>
        <v>6</v>
      </c>
      <c r="S7">
        <f t="shared" si="8"/>
        <v>0</v>
      </c>
      <c r="T7">
        <f t="shared" si="8"/>
        <v>-50</v>
      </c>
    </row>
    <row r="8" spans="2:20" ht="75" customHeight="1" x14ac:dyDescent="0.25">
      <c r="B8" s="5">
        <f t="shared" si="0"/>
        <v>44175</v>
      </c>
      <c r="C8" s="6" t="str">
        <f t="shared" si="3"/>
        <v xml:space="preserve"> 1) +46 Daniel Sjöholm
 2) +30 Rickard Englund
 3) +7 Erik Holmberg
 4) Anthon Liljeroth
 5) -15 E-K Trombklint</v>
      </c>
      <c r="D8" s="7" t="s">
        <v>8</v>
      </c>
      <c r="E8" s="1" t="str">
        <f t="shared" si="4"/>
        <v xml:space="preserve"> 1) 400 Daniel Sjöholm
 2) 384 Rickard Englund
 3) 361 Erik Holmberg
 4) 354 Anthon Liljeroth
 5) 339 E-K Trombklint</v>
      </c>
      <c r="F8" t="str">
        <f t="shared" si="1"/>
        <v xml:space="preserve">400 Daniel Sjöholm
</v>
      </c>
      <c r="G8" t="str">
        <f t="shared" si="1"/>
        <v xml:space="preserve">384 Rickard Englund
</v>
      </c>
      <c r="H8" t="str">
        <f t="shared" si="1"/>
        <v xml:space="preserve">361 Erik Holmberg
</v>
      </c>
      <c r="I8" t="str">
        <f t="shared" si="1"/>
        <v xml:space="preserve">354 Anthon Liljeroth
</v>
      </c>
      <c r="J8" t="str">
        <f t="shared" si="2"/>
        <v>339 E-K Trombklint</v>
      </c>
      <c r="K8" t="str">
        <f t="shared" ref="K8:O9" si="9">MID(F8,1, FIND(" ",F8))</f>
        <v xml:space="preserve">400 </v>
      </c>
      <c r="L8" t="str">
        <f t="shared" si="9"/>
        <v xml:space="preserve">384 </v>
      </c>
      <c r="M8" t="str">
        <f t="shared" si="9"/>
        <v xml:space="preserve">361 </v>
      </c>
      <c r="N8" t="str">
        <f t="shared" si="9"/>
        <v xml:space="preserve">354 </v>
      </c>
      <c r="O8" t="str">
        <f t="shared" si="9"/>
        <v xml:space="preserve">339 </v>
      </c>
      <c r="P8">
        <f t="shared" ref="P8:T9" si="10">MID(F8,1, FIND(" ",F8))
-IF(IFERROR(FIND("Liljeroth",$F8),0)&gt;0,_xlfn.NUMBERVALUE(MID($F8,1, FIND(" ",$F8))),0)
-IF(IFERROR(FIND("Liljeroth",$G8),0)&gt;0,_xlfn.NUMBERVALUE(MID($G8,1, FIND(" ",$G8))),0)
-IF(IFERROR(FIND("Liljeroth",$H8),0)&gt;0,_xlfn.NUMBERVALUE(MID($H8,1, FIND(" ",$H8))),0)
-IF(IFERROR(FIND("Liljeroth",$I8),0)&gt;0,_xlfn.NUMBERVALUE(MID($I8,1, FIND(" ",$I8))),0)
-IF(IFERROR(FIND("Liljeroth",$J8),0)&gt;0,_xlfn.NUMBERVALUE(MID($J8,1, FIND(" ",$J8))),0)</f>
        <v>46</v>
      </c>
      <c r="Q8">
        <f t="shared" si="10"/>
        <v>30</v>
      </c>
      <c r="R8">
        <f t="shared" si="10"/>
        <v>7</v>
      </c>
      <c r="S8">
        <f t="shared" si="10"/>
        <v>0</v>
      </c>
      <c r="T8">
        <f t="shared" si="10"/>
        <v>-15</v>
      </c>
    </row>
    <row r="9" spans="2:20" ht="75" customHeight="1" thickBot="1" x14ac:dyDescent="0.3">
      <c r="B9" s="8">
        <v>44174</v>
      </c>
      <c r="C9" s="9" t="str">
        <f t="shared" si="3"/>
        <v xml:space="preserve"> 1) +44 Daniel Sjöholm
 2) +27 Rickard Englund
 3) +6 Erik Holmberg
 4) Anthon Liljeroth
 5) -17 E-K Trombklint</v>
      </c>
      <c r="D9" s="10" t="s">
        <v>9</v>
      </c>
      <c r="E9" s="1" t="str">
        <f t="shared" si="4"/>
        <v xml:space="preserve"> 1) 358 Daniel Sjöholm
 2) 341 Rickard Englund
 3) 320 Erik Holmberg
 4) 314 Anthon Liljeroth
 5) 297 E-K Trombklint</v>
      </c>
      <c r="F9" t="str">
        <f t="shared" si="1"/>
        <v xml:space="preserve">358 Daniel Sjöholm
</v>
      </c>
      <c r="G9" t="str">
        <f t="shared" si="1"/>
        <v xml:space="preserve">341 Rickard Englund
</v>
      </c>
      <c r="H9" t="str">
        <f t="shared" si="1"/>
        <v xml:space="preserve">320 Erik Holmberg
</v>
      </c>
      <c r="I9" t="str">
        <f t="shared" si="1"/>
        <v xml:space="preserve">314 Anthon Liljeroth
</v>
      </c>
      <c r="J9" t="str">
        <f t="shared" si="2"/>
        <v>297 E-K Trombklint</v>
      </c>
      <c r="K9" t="str">
        <f t="shared" si="9"/>
        <v xml:space="preserve">358 </v>
      </c>
      <c r="L9" t="str">
        <f t="shared" si="9"/>
        <v xml:space="preserve">341 </v>
      </c>
      <c r="M9" t="str">
        <f t="shared" si="9"/>
        <v xml:space="preserve">320 </v>
      </c>
      <c r="N9" t="str">
        <f t="shared" si="9"/>
        <v xml:space="preserve">314 </v>
      </c>
      <c r="O9" t="str">
        <f t="shared" si="9"/>
        <v xml:space="preserve">297 </v>
      </c>
      <c r="P9">
        <f t="shared" si="10"/>
        <v>44</v>
      </c>
      <c r="Q9">
        <f t="shared" si="10"/>
        <v>27</v>
      </c>
      <c r="R9">
        <f t="shared" si="10"/>
        <v>6</v>
      </c>
      <c r="S9">
        <f t="shared" si="10"/>
        <v>0</v>
      </c>
      <c r="T9">
        <f t="shared" si="10"/>
        <v>-17</v>
      </c>
    </row>
    <row r="10" spans="2:20" ht="75" customHeight="1" x14ac:dyDescent="0.25"/>
    <row r="11" spans="2:20" ht="75" customHeight="1" x14ac:dyDescent="0.25"/>
    <row r="12" spans="2:20" ht="75" customHeight="1" x14ac:dyDescent="0.25"/>
    <row r="13" spans="2:20" ht="75" customHeight="1" x14ac:dyDescent="0.25"/>
    <row r="14" spans="2:20" ht="75" customHeight="1" x14ac:dyDescent="0.25"/>
    <row r="15" spans="2:20" ht="75" customHeight="1" x14ac:dyDescent="0.25"/>
    <row r="16" spans="2:20" ht="75" customHeight="1" x14ac:dyDescent="0.25"/>
    <row r="17" ht="75" customHeight="1" x14ac:dyDescent="0.25"/>
    <row r="18" ht="75" customHeight="1" x14ac:dyDescent="0.25"/>
    <row r="19" ht="75" customHeight="1" x14ac:dyDescent="0.25"/>
    <row r="20" ht="75" customHeight="1" x14ac:dyDescent="0.25"/>
    <row r="21" ht="75" customHeight="1" x14ac:dyDescent="0.25"/>
    <row r="22" ht="7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Y1068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12" sqref="N12"/>
    </sheetView>
  </sheetViews>
  <sheetFormatPr defaultRowHeight="15" x14ac:dyDescent="0.25"/>
  <cols>
    <col min="2" max="2" width="20.140625" bestFit="1" customWidth="1"/>
    <col min="3" max="52" width="2.7109375" style="1" customWidth="1"/>
    <col min="54" max="103" width="2.7109375" style="1" customWidth="1"/>
  </cols>
  <sheetData>
    <row r="1" spans="1:155" ht="15" customHeight="1" x14ac:dyDescent="0.25">
      <c r="C1" s="17">
        <f>(COLUMN()-1)/2</f>
        <v>1</v>
      </c>
      <c r="D1" s="17"/>
      <c r="E1" s="17">
        <f t="shared" ref="E1" si="0">(COLUMN()-1)/2</f>
        <v>2</v>
      </c>
      <c r="F1" s="17"/>
      <c r="G1" s="17">
        <f t="shared" ref="G1" si="1">(COLUMN()-1)/2</f>
        <v>3</v>
      </c>
      <c r="H1" s="17"/>
      <c r="I1" s="17">
        <f t="shared" ref="I1" si="2">(COLUMN()-1)/2</f>
        <v>4</v>
      </c>
      <c r="J1" s="17"/>
      <c r="K1" s="17">
        <f t="shared" ref="K1" si="3">(COLUMN()-1)/2</f>
        <v>5</v>
      </c>
      <c r="L1" s="17"/>
      <c r="M1" s="17">
        <f t="shared" ref="M1" si="4">(COLUMN()-1)/2</f>
        <v>6</v>
      </c>
      <c r="N1" s="17"/>
      <c r="O1" s="17">
        <f t="shared" ref="O1" si="5">(COLUMN()-1)/2</f>
        <v>7</v>
      </c>
      <c r="P1" s="17"/>
      <c r="Q1" s="17">
        <f t="shared" ref="Q1" si="6">(COLUMN()-1)/2</f>
        <v>8</v>
      </c>
      <c r="R1" s="17"/>
      <c r="S1" s="17">
        <f t="shared" ref="S1" si="7">(COLUMN()-1)/2</f>
        <v>9</v>
      </c>
      <c r="T1" s="17"/>
      <c r="U1" s="17">
        <f t="shared" ref="U1" si="8">(COLUMN()-1)/2</f>
        <v>10</v>
      </c>
      <c r="V1" s="17"/>
      <c r="W1" s="17">
        <f t="shared" ref="W1" si="9">(COLUMN()-1)/2</f>
        <v>11</v>
      </c>
      <c r="X1" s="17"/>
      <c r="Y1" s="17">
        <f t="shared" ref="Y1" si="10">(COLUMN()-1)/2</f>
        <v>12</v>
      </c>
      <c r="Z1" s="17"/>
      <c r="AA1" s="17">
        <f t="shared" ref="AA1" si="11">(COLUMN()-1)/2</f>
        <v>13</v>
      </c>
      <c r="AB1" s="17"/>
      <c r="AC1" s="17">
        <f t="shared" ref="AC1" si="12">(COLUMN()-1)/2</f>
        <v>14</v>
      </c>
      <c r="AD1" s="17"/>
      <c r="AE1" s="17">
        <f t="shared" ref="AE1" si="13">(COLUMN()-1)/2</f>
        <v>15</v>
      </c>
      <c r="AF1" s="17"/>
      <c r="AG1" s="17">
        <f t="shared" ref="AG1" si="14">(COLUMN()-1)/2</f>
        <v>16</v>
      </c>
      <c r="AH1" s="17"/>
      <c r="AI1" s="17">
        <f t="shared" ref="AI1" si="15">(COLUMN()-1)/2</f>
        <v>17</v>
      </c>
      <c r="AJ1" s="17"/>
      <c r="AK1" s="17">
        <f t="shared" ref="AK1" si="16">(COLUMN()-1)/2</f>
        <v>18</v>
      </c>
      <c r="AL1" s="17"/>
      <c r="AM1" s="17">
        <f t="shared" ref="AM1" si="17">(COLUMN()-1)/2</f>
        <v>19</v>
      </c>
      <c r="AN1" s="17"/>
      <c r="AO1" s="17">
        <f t="shared" ref="AO1" si="18">(COLUMN()-1)/2</f>
        <v>20</v>
      </c>
      <c r="AP1" s="17"/>
      <c r="AQ1" s="17">
        <f t="shared" ref="AQ1" si="19">(COLUMN()-1)/2</f>
        <v>21</v>
      </c>
      <c r="AR1" s="17"/>
      <c r="AS1" s="17">
        <f t="shared" ref="AS1" si="20">(COLUMN()-1)/2</f>
        <v>22</v>
      </c>
      <c r="AT1" s="17"/>
      <c r="AU1" s="17">
        <f t="shared" ref="AU1" si="21">(COLUMN()-1)/2</f>
        <v>23</v>
      </c>
      <c r="AV1" s="17"/>
      <c r="AW1" s="17">
        <f t="shared" ref="AW1" si="22">(COLUMN()-1)/2</f>
        <v>24</v>
      </c>
      <c r="AX1" s="17"/>
      <c r="AY1" s="17">
        <f t="shared" ref="AY1" si="23">(COLUMN()-1)/2</f>
        <v>25</v>
      </c>
      <c r="AZ1" s="17"/>
      <c r="BB1" s="17">
        <f>(COLUMN()-1)/2-25.5</f>
        <v>1</v>
      </c>
      <c r="BC1" s="17"/>
      <c r="BD1" s="17">
        <f t="shared" ref="BD1" si="24">(COLUMN()-1)/2-25.5</f>
        <v>2</v>
      </c>
      <c r="BE1" s="17"/>
      <c r="BF1" s="17">
        <f t="shared" ref="BF1" si="25">(COLUMN()-1)/2-25.5</f>
        <v>3</v>
      </c>
      <c r="BG1" s="17"/>
      <c r="BH1" s="17">
        <f t="shared" ref="BH1" si="26">(COLUMN()-1)/2-25.5</f>
        <v>4</v>
      </c>
      <c r="BI1" s="17"/>
      <c r="BJ1" s="17">
        <f t="shared" ref="BJ1" si="27">(COLUMN()-1)/2-25.5</f>
        <v>5</v>
      </c>
      <c r="BK1" s="17"/>
      <c r="BL1" s="17">
        <f t="shared" ref="BL1" si="28">(COLUMN()-1)/2-25.5</f>
        <v>6</v>
      </c>
      <c r="BM1" s="17"/>
      <c r="BN1" s="17">
        <f t="shared" ref="BN1" si="29">(COLUMN()-1)/2-25.5</f>
        <v>7</v>
      </c>
      <c r="BO1" s="17"/>
      <c r="BP1" s="17">
        <f t="shared" ref="BP1" si="30">(COLUMN()-1)/2-25.5</f>
        <v>8</v>
      </c>
      <c r="BQ1" s="17"/>
      <c r="BR1" s="17">
        <f t="shared" ref="BR1" si="31">(COLUMN()-1)/2-25.5</f>
        <v>9</v>
      </c>
      <c r="BS1" s="17"/>
      <c r="BT1" s="17">
        <f t="shared" ref="BT1" si="32">(COLUMN()-1)/2-25.5</f>
        <v>10</v>
      </c>
      <c r="BU1" s="17"/>
      <c r="BV1" s="17">
        <f t="shared" ref="BV1" si="33">(COLUMN()-1)/2-25.5</f>
        <v>11</v>
      </c>
      <c r="BW1" s="17"/>
      <c r="BX1" s="17">
        <f t="shared" ref="BX1" si="34">(COLUMN()-1)/2-25.5</f>
        <v>12</v>
      </c>
      <c r="BY1" s="17"/>
      <c r="BZ1" s="17">
        <f t="shared" ref="BZ1" si="35">(COLUMN()-1)/2-25.5</f>
        <v>13</v>
      </c>
      <c r="CA1" s="17"/>
      <c r="CB1" s="17">
        <f t="shared" ref="CB1" si="36">(COLUMN()-1)/2-25.5</f>
        <v>14</v>
      </c>
      <c r="CC1" s="17"/>
      <c r="CD1" s="17">
        <f t="shared" ref="CD1" si="37">(COLUMN()-1)/2-25.5</f>
        <v>15</v>
      </c>
      <c r="CE1" s="17"/>
      <c r="CF1" s="17">
        <f t="shared" ref="CF1" si="38">(COLUMN()-1)/2-25.5</f>
        <v>16</v>
      </c>
      <c r="CG1" s="17"/>
      <c r="CH1" s="17">
        <f t="shared" ref="CH1" si="39">(COLUMN()-1)/2-25.5</f>
        <v>17</v>
      </c>
      <c r="CI1" s="17"/>
      <c r="CJ1" s="17">
        <f t="shared" ref="CJ1" si="40">(COLUMN()-1)/2-25.5</f>
        <v>18</v>
      </c>
      <c r="CK1" s="17"/>
      <c r="CL1" s="17">
        <f t="shared" ref="CL1" si="41">(COLUMN()-1)/2-25.5</f>
        <v>19</v>
      </c>
      <c r="CM1" s="17"/>
      <c r="CN1" s="17">
        <f t="shared" ref="CN1" si="42">(COLUMN()-1)/2-25.5</f>
        <v>20</v>
      </c>
      <c r="CO1" s="17"/>
      <c r="CP1" s="17">
        <f t="shared" ref="CP1" si="43">(COLUMN()-1)/2-25.5</f>
        <v>21</v>
      </c>
      <c r="CQ1" s="17"/>
      <c r="CR1" s="17">
        <f t="shared" ref="CR1" si="44">(COLUMN()-1)/2-25.5</f>
        <v>22</v>
      </c>
      <c r="CS1" s="17"/>
      <c r="CT1" s="17">
        <f t="shared" ref="CT1" si="45">(COLUMN()-1)/2-25.5</f>
        <v>23</v>
      </c>
      <c r="CU1" s="17"/>
      <c r="CV1" s="17">
        <f t="shared" ref="CV1" si="46">(COLUMN()-1)/2-25.5</f>
        <v>24</v>
      </c>
      <c r="CW1" s="17"/>
      <c r="CX1" s="17">
        <f t="shared" ref="CX1" si="47">(COLUMN()-1)/2-25.5</f>
        <v>25</v>
      </c>
      <c r="CY1" s="17"/>
    </row>
    <row r="2" spans="1:155" x14ac:dyDescent="0.25">
      <c r="C2" s="11" t="s">
        <v>39</v>
      </c>
      <c r="D2" s="11" t="s">
        <v>40</v>
      </c>
      <c r="E2" s="11" t="s">
        <v>39</v>
      </c>
      <c r="F2" s="11" t="s">
        <v>40</v>
      </c>
      <c r="G2" s="11" t="s">
        <v>39</v>
      </c>
      <c r="H2" s="11" t="s">
        <v>40</v>
      </c>
      <c r="I2" s="11" t="s">
        <v>39</v>
      </c>
      <c r="J2" s="11" t="s">
        <v>40</v>
      </c>
      <c r="K2" s="11" t="s">
        <v>39</v>
      </c>
      <c r="L2" s="11" t="s">
        <v>40</v>
      </c>
      <c r="M2" s="11" t="s">
        <v>39</v>
      </c>
      <c r="N2" s="11" t="s">
        <v>40</v>
      </c>
      <c r="O2" s="11" t="s">
        <v>39</v>
      </c>
      <c r="P2" s="11" t="s">
        <v>40</v>
      </c>
      <c r="Q2" s="11" t="s">
        <v>39</v>
      </c>
      <c r="R2" s="11" t="s">
        <v>40</v>
      </c>
      <c r="S2" s="11" t="s">
        <v>39</v>
      </c>
      <c r="T2" s="11" t="s">
        <v>40</v>
      </c>
      <c r="U2" s="11" t="s">
        <v>39</v>
      </c>
      <c r="V2" s="11" t="s">
        <v>40</v>
      </c>
      <c r="W2" s="11" t="s">
        <v>39</v>
      </c>
      <c r="X2" s="11" t="s">
        <v>40</v>
      </c>
      <c r="Y2" s="11" t="s">
        <v>39</v>
      </c>
      <c r="Z2" s="11" t="s">
        <v>40</v>
      </c>
      <c r="AA2" s="11" t="s">
        <v>39</v>
      </c>
      <c r="AB2" s="11" t="s">
        <v>40</v>
      </c>
      <c r="AC2" s="11" t="s">
        <v>39</v>
      </c>
      <c r="AD2" s="11" t="s">
        <v>40</v>
      </c>
      <c r="AE2" s="11" t="s">
        <v>39</v>
      </c>
      <c r="AF2" s="11" t="s">
        <v>40</v>
      </c>
      <c r="AG2" s="11" t="s">
        <v>39</v>
      </c>
      <c r="AH2" s="11" t="s">
        <v>40</v>
      </c>
      <c r="AI2" s="11" t="s">
        <v>39</v>
      </c>
      <c r="AJ2" s="11" t="s">
        <v>40</v>
      </c>
      <c r="AK2" s="11" t="s">
        <v>39</v>
      </c>
      <c r="AL2" s="11" t="s">
        <v>40</v>
      </c>
      <c r="AM2" s="11" t="s">
        <v>39</v>
      </c>
      <c r="AN2" s="11" t="s">
        <v>40</v>
      </c>
      <c r="AO2" s="11" t="s">
        <v>39</v>
      </c>
      <c r="AP2" s="11" t="s">
        <v>40</v>
      </c>
      <c r="AQ2" s="11" t="s">
        <v>39</v>
      </c>
      <c r="AR2" s="11" t="s">
        <v>40</v>
      </c>
      <c r="AS2" s="11" t="s">
        <v>39</v>
      </c>
      <c r="AT2" s="11" t="s">
        <v>40</v>
      </c>
      <c r="AU2" s="11" t="s">
        <v>39</v>
      </c>
      <c r="AV2" s="11" t="s">
        <v>40</v>
      </c>
      <c r="AW2" s="11" t="s">
        <v>39</v>
      </c>
      <c r="AX2" s="11" t="s">
        <v>40</v>
      </c>
      <c r="AY2" s="11" t="s">
        <v>39</v>
      </c>
      <c r="AZ2" s="11" t="s">
        <v>40</v>
      </c>
      <c r="BB2" s="11" t="s">
        <v>39</v>
      </c>
      <c r="BC2" s="11" t="s">
        <v>40</v>
      </c>
      <c r="BD2" s="11" t="s">
        <v>39</v>
      </c>
      <c r="BE2" s="11" t="s">
        <v>40</v>
      </c>
      <c r="BF2" s="11" t="s">
        <v>39</v>
      </c>
      <c r="BG2" s="11" t="s">
        <v>40</v>
      </c>
      <c r="BH2" s="11" t="s">
        <v>39</v>
      </c>
      <c r="BI2" s="11" t="s">
        <v>40</v>
      </c>
      <c r="BJ2" s="11" t="s">
        <v>39</v>
      </c>
      <c r="BK2" s="11" t="s">
        <v>40</v>
      </c>
      <c r="BL2" s="11" t="s">
        <v>39</v>
      </c>
      <c r="BM2" s="11" t="s">
        <v>40</v>
      </c>
      <c r="BN2" s="11" t="s">
        <v>39</v>
      </c>
      <c r="BO2" s="11" t="s">
        <v>40</v>
      </c>
      <c r="BP2" s="11" t="s">
        <v>39</v>
      </c>
      <c r="BQ2" s="11" t="s">
        <v>40</v>
      </c>
      <c r="BR2" s="11" t="s">
        <v>39</v>
      </c>
      <c r="BS2" s="11" t="s">
        <v>40</v>
      </c>
      <c r="BT2" s="11" t="s">
        <v>39</v>
      </c>
      <c r="BU2" s="11" t="s">
        <v>40</v>
      </c>
      <c r="BV2" s="11" t="s">
        <v>39</v>
      </c>
      <c r="BW2" s="11" t="s">
        <v>40</v>
      </c>
      <c r="BX2" s="11" t="s">
        <v>39</v>
      </c>
      <c r="BY2" s="11" t="s">
        <v>40</v>
      </c>
      <c r="BZ2" s="11" t="s">
        <v>39</v>
      </c>
      <c r="CA2" s="11" t="s">
        <v>40</v>
      </c>
      <c r="CB2" s="11" t="s">
        <v>39</v>
      </c>
      <c r="CC2" s="11" t="s">
        <v>40</v>
      </c>
      <c r="CD2" s="11" t="s">
        <v>39</v>
      </c>
      <c r="CE2" s="11" t="s">
        <v>40</v>
      </c>
      <c r="CF2" s="11" t="s">
        <v>39</v>
      </c>
      <c r="CG2" s="11" t="s">
        <v>40</v>
      </c>
      <c r="CH2" s="11" t="s">
        <v>39</v>
      </c>
      <c r="CI2" s="11" t="s">
        <v>40</v>
      </c>
      <c r="CJ2" s="11" t="s">
        <v>39</v>
      </c>
      <c r="CK2" s="11" t="s">
        <v>40</v>
      </c>
      <c r="CL2" s="11" t="s">
        <v>39</v>
      </c>
      <c r="CM2" s="11" t="s">
        <v>40</v>
      </c>
      <c r="CN2" s="11" t="s">
        <v>39</v>
      </c>
      <c r="CO2" s="11" t="s">
        <v>40</v>
      </c>
      <c r="CP2" s="11" t="s">
        <v>39</v>
      </c>
      <c r="CQ2" s="11" t="s">
        <v>40</v>
      </c>
      <c r="CR2" s="11" t="s">
        <v>39</v>
      </c>
      <c r="CS2" s="11" t="s">
        <v>40</v>
      </c>
      <c r="CT2" s="11" t="s">
        <v>39</v>
      </c>
      <c r="CU2" s="11" t="s">
        <v>40</v>
      </c>
      <c r="CV2" s="11" t="s">
        <v>39</v>
      </c>
      <c r="CW2" s="11" t="s">
        <v>40</v>
      </c>
      <c r="CX2" s="11" t="s">
        <v>39</v>
      </c>
      <c r="CY2" s="11" t="s">
        <v>40</v>
      </c>
    </row>
    <row r="3" spans="1:155" x14ac:dyDescent="0.25">
      <c r="A3" s="16">
        <f>CY3</f>
        <v>36</v>
      </c>
      <c r="B3" t="s">
        <v>14</v>
      </c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>
        <v>262.86666666666667</v>
      </c>
      <c r="R3" s="13">
        <v>263.76666666666665</v>
      </c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B3" s="15">
        <v>0</v>
      </c>
      <c r="BC3" s="15">
        <v>0</v>
      </c>
      <c r="BD3" s="15">
        <f>IF(E3&lt;&gt;"",IF(E3=DD$3,25,IF(E3=DD$4,24,IF(E3=DD$5,23,IF(E3=DD$6,22,IF(E3=DD$6,22,IF(E3=DD$7,21,IF(E3=DD$8,20,IF(E3=DD$9,19,IF(E3=DD$10,18,IF(E3=DD$11,17,0)))))))))),0)+BC3</f>
        <v>0</v>
      </c>
      <c r="BE3" s="15">
        <f t="shared" ref="BE3:CY3" si="48">IF(F3&lt;&gt;"",IF(F3=DE$3,25,IF(F3=DE$4,24,IF(F3=DE$5,23,IF(F3=DE$6,22,IF(F3=DE$6,22,IF(F3=DE$7,21,IF(F3=DE$8,20,IF(F3=DE$9,19,IF(F3=DE$10,18,IF(F3=DE$11,17,0)))))))))),0)+BD3</f>
        <v>0</v>
      </c>
      <c r="BF3" s="15">
        <f t="shared" si="48"/>
        <v>0</v>
      </c>
      <c r="BG3" s="15">
        <f t="shared" si="48"/>
        <v>0</v>
      </c>
      <c r="BH3" s="15">
        <f t="shared" si="48"/>
        <v>0</v>
      </c>
      <c r="BI3" s="15">
        <f t="shared" si="48"/>
        <v>0</v>
      </c>
      <c r="BJ3" s="15">
        <f t="shared" si="48"/>
        <v>0</v>
      </c>
      <c r="BK3" s="15">
        <f t="shared" si="48"/>
        <v>0</v>
      </c>
      <c r="BL3" s="15">
        <f t="shared" si="48"/>
        <v>0</v>
      </c>
      <c r="BM3" s="15">
        <f t="shared" si="48"/>
        <v>0</v>
      </c>
      <c r="BN3" s="15">
        <f t="shared" si="48"/>
        <v>0</v>
      </c>
      <c r="BO3" s="15">
        <f t="shared" si="48"/>
        <v>0</v>
      </c>
      <c r="BP3" s="15">
        <f t="shared" si="48"/>
        <v>18</v>
      </c>
      <c r="BQ3" s="15">
        <f t="shared" si="48"/>
        <v>36</v>
      </c>
      <c r="BR3" s="15">
        <f t="shared" si="48"/>
        <v>36</v>
      </c>
      <c r="BS3" s="15">
        <f t="shared" si="48"/>
        <v>36</v>
      </c>
      <c r="BT3" s="15">
        <f t="shared" si="48"/>
        <v>36</v>
      </c>
      <c r="BU3" s="15">
        <f t="shared" si="48"/>
        <v>36</v>
      </c>
      <c r="BV3" s="15">
        <f t="shared" si="48"/>
        <v>36</v>
      </c>
      <c r="BW3" s="15">
        <f t="shared" si="48"/>
        <v>36</v>
      </c>
      <c r="BX3" s="15">
        <f t="shared" si="48"/>
        <v>36</v>
      </c>
      <c r="BY3" s="15">
        <f t="shared" si="48"/>
        <v>36</v>
      </c>
      <c r="BZ3" s="15">
        <f t="shared" si="48"/>
        <v>36</v>
      </c>
      <c r="CA3" s="15">
        <f t="shared" si="48"/>
        <v>36</v>
      </c>
      <c r="CB3" s="15">
        <f t="shared" si="48"/>
        <v>36</v>
      </c>
      <c r="CC3" s="15">
        <f t="shared" si="48"/>
        <v>36</v>
      </c>
      <c r="CD3" s="15">
        <f t="shared" si="48"/>
        <v>36</v>
      </c>
      <c r="CE3" s="15">
        <f t="shared" si="48"/>
        <v>36</v>
      </c>
      <c r="CF3" s="15">
        <f t="shared" si="48"/>
        <v>36</v>
      </c>
      <c r="CG3" s="15">
        <f t="shared" si="48"/>
        <v>36</v>
      </c>
      <c r="CH3" s="15">
        <f t="shared" si="48"/>
        <v>36</v>
      </c>
      <c r="CI3" s="15">
        <f t="shared" si="48"/>
        <v>36</v>
      </c>
      <c r="CJ3" s="15">
        <f t="shared" si="48"/>
        <v>36</v>
      </c>
      <c r="CK3" s="15">
        <f t="shared" si="48"/>
        <v>36</v>
      </c>
      <c r="CL3" s="15">
        <f t="shared" si="48"/>
        <v>36</v>
      </c>
      <c r="CM3" s="15">
        <f t="shared" si="48"/>
        <v>36</v>
      </c>
      <c r="CN3" s="15">
        <f t="shared" si="48"/>
        <v>36</v>
      </c>
      <c r="CO3" s="15">
        <f t="shared" si="48"/>
        <v>36</v>
      </c>
      <c r="CP3" s="15">
        <f t="shared" si="48"/>
        <v>36</v>
      </c>
      <c r="CQ3" s="15">
        <f t="shared" si="48"/>
        <v>36</v>
      </c>
      <c r="CR3" s="15">
        <f t="shared" si="48"/>
        <v>36</v>
      </c>
      <c r="CS3" s="15">
        <f t="shared" si="48"/>
        <v>36</v>
      </c>
      <c r="CT3" s="15">
        <f t="shared" si="48"/>
        <v>36</v>
      </c>
      <c r="CU3" s="15">
        <f t="shared" si="48"/>
        <v>36</v>
      </c>
      <c r="CV3" s="15">
        <f t="shared" si="48"/>
        <v>36</v>
      </c>
      <c r="CW3" s="15">
        <f t="shared" si="48"/>
        <v>36</v>
      </c>
      <c r="CX3" s="15">
        <f t="shared" si="48"/>
        <v>36</v>
      </c>
      <c r="CY3" s="15">
        <f t="shared" si="48"/>
        <v>36</v>
      </c>
      <c r="DA3">
        <v>1</v>
      </c>
      <c r="DB3">
        <f>SMALL(C$3:C$30,$DA3)</f>
        <v>7.0166666666666666</v>
      </c>
      <c r="DC3">
        <f t="shared" ref="DC3:DC17" si="49">SMALL(D$3:D$30,$DA3)</f>
        <v>8.2833333333333332</v>
      </c>
      <c r="DD3">
        <f t="shared" ref="DD3:DD17" si="50">SMALL(E$3:E$30,$DA3)</f>
        <v>8.0333333333333332</v>
      </c>
      <c r="DE3">
        <f t="shared" ref="DE3:DE17" si="51">SMALL(F$3:F$30,$DA3)</f>
        <v>12.916666666666666</v>
      </c>
      <c r="DF3">
        <f t="shared" ref="DF3:DF17" si="52">SMALL(G$3:G$30,$DA3)</f>
        <v>16.133333333333333</v>
      </c>
      <c r="DG3">
        <f t="shared" ref="DG3:DG17" si="53">SMALL(H$3:H$30,$DA3)</f>
        <v>27.166666666666668</v>
      </c>
      <c r="DH3">
        <f t="shared" ref="DH3:DH17" si="54">SMALL(I$3:I$30,$DA3)</f>
        <v>19.016666666666666</v>
      </c>
      <c r="DI3">
        <f t="shared" ref="DI3:DI17" si="55">SMALL(J$3:J$30,$DA3)</f>
        <v>47.6</v>
      </c>
      <c r="DJ3">
        <f t="shared" ref="DJ3:DJ17" si="56">SMALL(K$3:K$30,$DA3)</f>
        <v>22.183333333333334</v>
      </c>
      <c r="DK3">
        <f t="shared" ref="DK3:DK17" si="57">SMALL(L$3:L$30,$DA3)</f>
        <v>26.366666666666667</v>
      </c>
      <c r="DL3">
        <f t="shared" ref="DL3:DL17" si="58">SMALL(M$3:M$30,$DA3)</f>
        <v>5.2666666666666666</v>
      </c>
      <c r="DM3">
        <f t="shared" ref="DM3:DM17" si="59">SMALL(N$3:N$30,$DA3)</f>
        <v>36.083333333333336</v>
      </c>
      <c r="DN3">
        <f t="shared" ref="DN3:DN17" si="60">SMALL(O$3:O$30,$DA3)</f>
        <v>62.216666666666669</v>
      </c>
      <c r="DO3">
        <f t="shared" ref="DO3:DO17" si="61">SMALL(P$3:P$30,$DA3)</f>
        <v>96.166666666666671</v>
      </c>
      <c r="DP3">
        <f t="shared" ref="DP3:DP17" si="62">SMALL(Q$3:Q$30,$DA3)</f>
        <v>17.149999999999999</v>
      </c>
      <c r="DQ3">
        <f t="shared" ref="DQ3:DQ17" si="63">SMALL(R$3:R$30,$DA3)</f>
        <v>31.933333333333334</v>
      </c>
      <c r="DR3">
        <f t="shared" ref="DR3:DR17" si="64">SMALL(S$3:S$30,$DA3)</f>
        <v>16.966666666666665</v>
      </c>
      <c r="DS3">
        <f t="shared" ref="DS3:DS17" si="65">SMALL(T$3:T$30,$DA3)</f>
        <v>35.116666666666667</v>
      </c>
      <c r="DT3">
        <f t="shared" ref="DT3:DT17" si="66">SMALL(U$3:U$30,$DA3)</f>
        <v>12.516666666666667</v>
      </c>
      <c r="DU3">
        <f t="shared" ref="DU3:DU17" si="67">SMALL(V$3:V$30,$DA3)</f>
        <v>85.033333333333331</v>
      </c>
      <c r="DV3">
        <f t="shared" ref="DV3:DV17" si="68">SMALL(W$3:W$30,$DA3)</f>
        <v>60.016666666666666</v>
      </c>
      <c r="DW3">
        <f t="shared" ref="DW3:DW17" si="69">SMALL(X$3:X$30,$DA3)</f>
        <v>65.13333333333334</v>
      </c>
      <c r="DX3">
        <f t="shared" ref="DX3:DX17" si="70">SMALL(Y$3:Y$30,$DA3)</f>
        <v>17.733333333333334</v>
      </c>
      <c r="DY3">
        <f t="shared" ref="DY3:DY17" si="71">SMALL(Z$3:Z$30,$DA3)</f>
        <v>28.316666666666666</v>
      </c>
      <c r="DZ3">
        <f t="shared" ref="DZ3:DZ17" si="72">SMALL(AA$3:AA$30,$DA3)</f>
        <v>13.1</v>
      </c>
      <c r="EA3">
        <f t="shared" ref="EA3:EA17" si="73">SMALL(AB$3:AB$30,$DA3)</f>
        <v>174.1</v>
      </c>
      <c r="EB3">
        <f t="shared" ref="EB3:EB17" si="74">SMALL(AC$3:AC$30,$DA3)</f>
        <v>43</v>
      </c>
      <c r="EC3">
        <f t="shared" ref="EC3:EC17" si="75">SMALL(AD$3:AD$30,$DA3)</f>
        <v>122.51666666666667</v>
      </c>
      <c r="ED3" t="e">
        <f t="shared" ref="ED3:ED17" si="76">SMALL(AE$3:AE$30,$DA3)</f>
        <v>#NUM!</v>
      </c>
      <c r="EE3" t="e">
        <f t="shared" ref="EE3:EE17" si="77">SMALL(AF$3:AF$30,$DA3)</f>
        <v>#NUM!</v>
      </c>
      <c r="EF3" t="e">
        <f t="shared" ref="EF3:EF17" si="78">SMALL(AG$3:AG$30,$DA3)</f>
        <v>#NUM!</v>
      </c>
      <c r="EG3" t="e">
        <f t="shared" ref="EG3:EG17" si="79">SMALL(AH$3:AH$30,$DA3)</f>
        <v>#NUM!</v>
      </c>
      <c r="EH3" t="e">
        <f t="shared" ref="EH3:EH17" si="80">SMALL(AI$3:AI$30,$DA3)</f>
        <v>#NUM!</v>
      </c>
      <c r="EI3" t="e">
        <f t="shared" ref="EI3:EI17" si="81">SMALL(AJ$3:AJ$30,$DA3)</f>
        <v>#NUM!</v>
      </c>
      <c r="EJ3" t="e">
        <f t="shared" ref="EJ3:EJ17" si="82">SMALL(AK$3:AK$30,$DA3)</f>
        <v>#NUM!</v>
      </c>
      <c r="EK3" t="e">
        <f t="shared" ref="EK3:EK17" si="83">SMALL(AL$3:AL$30,$DA3)</f>
        <v>#NUM!</v>
      </c>
      <c r="EL3" t="e">
        <f t="shared" ref="EL3:EL17" si="84">SMALL(AM$3:AM$30,$DA3)</f>
        <v>#NUM!</v>
      </c>
      <c r="EM3" t="e">
        <f t="shared" ref="EM3:EM17" si="85">SMALL(AN$3:AN$30,$DA3)</f>
        <v>#NUM!</v>
      </c>
      <c r="EN3" t="e">
        <f t="shared" ref="EN3:EN17" si="86">SMALL(AO$3:AO$30,$DA3)</f>
        <v>#NUM!</v>
      </c>
      <c r="EO3" t="e">
        <f t="shared" ref="EO3:EO17" si="87">SMALL(AP$3:AP$30,$DA3)</f>
        <v>#NUM!</v>
      </c>
      <c r="EP3" t="e">
        <f t="shared" ref="EP3:EP17" si="88">SMALL(AQ$3:AQ$30,$DA3)</f>
        <v>#NUM!</v>
      </c>
      <c r="EQ3" t="e">
        <f t="shared" ref="EQ3:EQ17" si="89">SMALL(AR$3:AR$30,$DA3)</f>
        <v>#NUM!</v>
      </c>
      <c r="ER3" t="e">
        <f t="shared" ref="ER3:ER17" si="90">SMALL(AS$3:AS$30,$DA3)</f>
        <v>#NUM!</v>
      </c>
      <c r="ES3" t="e">
        <f t="shared" ref="ES3:ES17" si="91">SMALL(AT$3:AT$30,$DA3)</f>
        <v>#NUM!</v>
      </c>
      <c r="ET3" t="e">
        <f t="shared" ref="ET3:ET17" si="92">SMALL(AU$3:AU$30,$DA3)</f>
        <v>#NUM!</v>
      </c>
      <c r="EU3" t="e">
        <f t="shared" ref="EU3:EU17" si="93">SMALL(AV$3:AV$30,$DA3)</f>
        <v>#NUM!</v>
      </c>
      <c r="EV3" t="e">
        <f t="shared" ref="EV3:EV17" si="94">SMALL(AW$3:AW$30,$DA3)</f>
        <v>#NUM!</v>
      </c>
      <c r="EW3" t="e">
        <f t="shared" ref="EW3:EW17" si="95">SMALL(AX$3:AX$30,$DA3)</f>
        <v>#NUM!</v>
      </c>
      <c r="EX3" t="e">
        <f t="shared" ref="EX3:EX17" si="96">SMALL(AY$3:AY$30,$DA3)</f>
        <v>#NUM!</v>
      </c>
      <c r="EY3" t="e">
        <f t="shared" ref="EY3:EY17" si="97">SMALL(AZ$3:AZ$30,$DA3)</f>
        <v>#NUM!</v>
      </c>
    </row>
    <row r="4" spans="1:155" x14ac:dyDescent="0.25">
      <c r="A4" s="16">
        <f t="shared" ref="A4:A27" si="98">CY4</f>
        <v>0</v>
      </c>
      <c r="B4" t="s">
        <v>15</v>
      </c>
      <c r="C4" s="13">
        <v>9242.5666666666675</v>
      </c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B4" s="15">
        <v>0</v>
      </c>
      <c r="BC4" s="15">
        <v>0</v>
      </c>
      <c r="BD4" s="15">
        <f t="shared" ref="BD4:CY4" si="99">IF(E4&lt;&gt;"",IF(E4=DD$3,25,IF(E4=DD$4,24,IF(E4=DD$5,23,IF(E4=DD$6,22,IF(E4=DD$6,22,IF(E4=DD$7,21,IF(E4=DD$8,20,IF(E4=DD$9,19,IF(E4=DD$10,18,IF(E4=DD$11,17,0)))))))))),0)+BC4</f>
        <v>0</v>
      </c>
      <c r="BE4" s="15">
        <f t="shared" si="99"/>
        <v>0</v>
      </c>
      <c r="BF4" s="15">
        <f t="shared" si="99"/>
        <v>0</v>
      </c>
      <c r="BG4" s="15">
        <f t="shared" si="99"/>
        <v>0</v>
      </c>
      <c r="BH4" s="15">
        <f t="shared" si="99"/>
        <v>0</v>
      </c>
      <c r="BI4" s="15">
        <f t="shared" si="99"/>
        <v>0</v>
      </c>
      <c r="BJ4" s="15">
        <f t="shared" si="99"/>
        <v>0</v>
      </c>
      <c r="BK4" s="15">
        <f t="shared" si="99"/>
        <v>0</v>
      </c>
      <c r="BL4" s="15">
        <f t="shared" si="99"/>
        <v>0</v>
      </c>
      <c r="BM4" s="15">
        <f t="shared" si="99"/>
        <v>0</v>
      </c>
      <c r="BN4" s="15">
        <f t="shared" si="99"/>
        <v>0</v>
      </c>
      <c r="BO4" s="15">
        <f t="shared" si="99"/>
        <v>0</v>
      </c>
      <c r="BP4" s="15">
        <f t="shared" si="99"/>
        <v>0</v>
      </c>
      <c r="BQ4" s="15">
        <f t="shared" si="99"/>
        <v>0</v>
      </c>
      <c r="BR4" s="15">
        <f t="shared" si="99"/>
        <v>0</v>
      </c>
      <c r="BS4" s="15">
        <f t="shared" si="99"/>
        <v>0</v>
      </c>
      <c r="BT4" s="15">
        <f t="shared" si="99"/>
        <v>0</v>
      </c>
      <c r="BU4" s="15">
        <f t="shared" si="99"/>
        <v>0</v>
      </c>
      <c r="BV4" s="15">
        <f t="shared" si="99"/>
        <v>0</v>
      </c>
      <c r="BW4" s="15">
        <f t="shared" si="99"/>
        <v>0</v>
      </c>
      <c r="BX4" s="15">
        <f t="shared" si="99"/>
        <v>0</v>
      </c>
      <c r="BY4" s="15">
        <f t="shared" si="99"/>
        <v>0</v>
      </c>
      <c r="BZ4" s="15">
        <f t="shared" si="99"/>
        <v>0</v>
      </c>
      <c r="CA4" s="15">
        <f t="shared" si="99"/>
        <v>0</v>
      </c>
      <c r="CB4" s="15">
        <f t="shared" si="99"/>
        <v>0</v>
      </c>
      <c r="CC4" s="15">
        <f t="shared" si="99"/>
        <v>0</v>
      </c>
      <c r="CD4" s="15">
        <f t="shared" si="99"/>
        <v>0</v>
      </c>
      <c r="CE4" s="15">
        <f t="shared" si="99"/>
        <v>0</v>
      </c>
      <c r="CF4" s="15">
        <f t="shared" si="99"/>
        <v>0</v>
      </c>
      <c r="CG4" s="15">
        <f t="shared" si="99"/>
        <v>0</v>
      </c>
      <c r="CH4" s="15">
        <f t="shared" si="99"/>
        <v>0</v>
      </c>
      <c r="CI4" s="15">
        <f t="shared" si="99"/>
        <v>0</v>
      </c>
      <c r="CJ4" s="15">
        <f t="shared" si="99"/>
        <v>0</v>
      </c>
      <c r="CK4" s="15">
        <f t="shared" si="99"/>
        <v>0</v>
      </c>
      <c r="CL4" s="15">
        <f t="shared" si="99"/>
        <v>0</v>
      </c>
      <c r="CM4" s="15">
        <f t="shared" si="99"/>
        <v>0</v>
      </c>
      <c r="CN4" s="15">
        <f t="shared" si="99"/>
        <v>0</v>
      </c>
      <c r="CO4" s="15">
        <f t="shared" si="99"/>
        <v>0</v>
      </c>
      <c r="CP4" s="15">
        <f t="shared" si="99"/>
        <v>0</v>
      </c>
      <c r="CQ4" s="15">
        <f t="shared" si="99"/>
        <v>0</v>
      </c>
      <c r="CR4" s="15">
        <f t="shared" si="99"/>
        <v>0</v>
      </c>
      <c r="CS4" s="15">
        <f t="shared" si="99"/>
        <v>0</v>
      </c>
      <c r="CT4" s="15">
        <f t="shared" si="99"/>
        <v>0</v>
      </c>
      <c r="CU4" s="15">
        <f t="shared" si="99"/>
        <v>0</v>
      </c>
      <c r="CV4" s="15">
        <f t="shared" si="99"/>
        <v>0</v>
      </c>
      <c r="CW4" s="15">
        <f t="shared" si="99"/>
        <v>0</v>
      </c>
      <c r="CX4" s="15">
        <f t="shared" si="99"/>
        <v>0</v>
      </c>
      <c r="CY4" s="15">
        <f t="shared" si="99"/>
        <v>0</v>
      </c>
      <c r="DA4">
        <v>2</v>
      </c>
      <c r="DB4">
        <f t="shared" ref="DB4:DB17" si="100">SMALL(C$3:C$30,$DA4)</f>
        <v>8.4666666666666668</v>
      </c>
      <c r="DC4">
        <f t="shared" si="49"/>
        <v>9.4166666666666661</v>
      </c>
      <c r="DD4">
        <f t="shared" si="50"/>
        <v>49.766666666666666</v>
      </c>
      <c r="DE4">
        <f t="shared" si="51"/>
        <v>63.233333333333334</v>
      </c>
      <c r="DF4">
        <f t="shared" si="52"/>
        <v>21.516666666666666</v>
      </c>
      <c r="DG4">
        <f t="shared" si="53"/>
        <v>43.7</v>
      </c>
      <c r="DH4">
        <f t="shared" si="54"/>
        <v>36</v>
      </c>
      <c r="DI4">
        <f t="shared" si="55"/>
        <v>78.716666666666669</v>
      </c>
      <c r="DJ4">
        <f t="shared" si="56"/>
        <v>24.966666666666665</v>
      </c>
      <c r="DK4">
        <f t="shared" si="57"/>
        <v>29.766666666666666</v>
      </c>
      <c r="DL4">
        <f t="shared" si="58"/>
        <v>16.05</v>
      </c>
      <c r="DM4">
        <f t="shared" si="59"/>
        <v>45.25</v>
      </c>
      <c r="DN4">
        <f t="shared" si="60"/>
        <v>70.433333333333337</v>
      </c>
      <c r="DO4">
        <f t="shared" si="61"/>
        <v>140.81666666666666</v>
      </c>
      <c r="DP4">
        <f t="shared" si="62"/>
        <v>18.666666666666668</v>
      </c>
      <c r="DQ4">
        <f t="shared" si="63"/>
        <v>36.466666666666669</v>
      </c>
      <c r="DR4">
        <f t="shared" si="64"/>
        <v>26.366666666666667</v>
      </c>
      <c r="DS4">
        <f t="shared" si="65"/>
        <v>37.5</v>
      </c>
      <c r="DT4">
        <f t="shared" si="66"/>
        <v>16.666666666666668</v>
      </c>
      <c r="DU4">
        <f t="shared" si="67"/>
        <v>86.216666666666669</v>
      </c>
      <c r="DV4">
        <f t="shared" si="68"/>
        <v>65.13333333333334</v>
      </c>
      <c r="DW4">
        <f t="shared" si="69"/>
        <v>90.35</v>
      </c>
      <c r="DX4">
        <f t="shared" si="70"/>
        <v>17.866666666666667</v>
      </c>
      <c r="DY4">
        <f t="shared" si="71"/>
        <v>29.033333333333335</v>
      </c>
      <c r="DZ4">
        <f t="shared" si="72"/>
        <v>15.783333333333333</v>
      </c>
      <c r="EA4">
        <f t="shared" si="73"/>
        <v>183.43333333333334</v>
      </c>
      <c r="EB4">
        <f t="shared" si="74"/>
        <v>69.733333333333334</v>
      </c>
      <c r="EC4">
        <f t="shared" si="75"/>
        <v>138.41666666666666</v>
      </c>
      <c r="ED4" t="e">
        <f t="shared" si="76"/>
        <v>#NUM!</v>
      </c>
      <c r="EE4" t="e">
        <f t="shared" si="77"/>
        <v>#NUM!</v>
      </c>
      <c r="EF4" t="e">
        <f t="shared" si="78"/>
        <v>#NUM!</v>
      </c>
      <c r="EG4" t="e">
        <f t="shared" si="79"/>
        <v>#NUM!</v>
      </c>
      <c r="EH4" t="e">
        <f t="shared" si="80"/>
        <v>#NUM!</v>
      </c>
      <c r="EI4" t="e">
        <f t="shared" si="81"/>
        <v>#NUM!</v>
      </c>
      <c r="EJ4" t="e">
        <f t="shared" si="82"/>
        <v>#NUM!</v>
      </c>
      <c r="EK4" t="e">
        <f t="shared" si="83"/>
        <v>#NUM!</v>
      </c>
      <c r="EL4" t="e">
        <f t="shared" si="84"/>
        <v>#NUM!</v>
      </c>
      <c r="EM4" t="e">
        <f t="shared" si="85"/>
        <v>#NUM!</v>
      </c>
      <c r="EN4" t="e">
        <f t="shared" si="86"/>
        <v>#NUM!</v>
      </c>
      <c r="EO4" t="e">
        <f t="shared" si="87"/>
        <v>#NUM!</v>
      </c>
      <c r="EP4" t="e">
        <f t="shared" si="88"/>
        <v>#NUM!</v>
      </c>
      <c r="EQ4" t="e">
        <f t="shared" si="89"/>
        <v>#NUM!</v>
      </c>
      <c r="ER4" t="e">
        <f t="shared" si="90"/>
        <v>#NUM!</v>
      </c>
      <c r="ES4" t="e">
        <f t="shared" si="91"/>
        <v>#NUM!</v>
      </c>
      <c r="ET4" t="e">
        <f t="shared" si="92"/>
        <v>#NUM!</v>
      </c>
      <c r="EU4" t="e">
        <f t="shared" si="93"/>
        <v>#NUM!</v>
      </c>
      <c r="EV4" t="e">
        <f t="shared" si="94"/>
        <v>#NUM!</v>
      </c>
      <c r="EW4" t="e">
        <f t="shared" si="95"/>
        <v>#NUM!</v>
      </c>
      <c r="EX4" t="e">
        <f t="shared" si="96"/>
        <v>#NUM!</v>
      </c>
      <c r="EY4" t="e">
        <f t="shared" si="97"/>
        <v>#NUM!</v>
      </c>
    </row>
    <row r="5" spans="1:155" x14ac:dyDescent="0.25">
      <c r="A5" s="16">
        <f t="shared" si="98"/>
        <v>602</v>
      </c>
      <c r="B5" t="s">
        <v>16</v>
      </c>
      <c r="C5" s="13">
        <v>7.0166666666666666</v>
      </c>
      <c r="D5" s="13">
        <v>8.2833333333333332</v>
      </c>
      <c r="E5" s="13">
        <v>8.0333333333333332</v>
      </c>
      <c r="F5" s="13">
        <v>12.916666666666666</v>
      </c>
      <c r="G5" s="13">
        <v>16.133333333333333</v>
      </c>
      <c r="H5" s="13">
        <v>53.4</v>
      </c>
      <c r="I5" s="13">
        <v>19.016666666666666</v>
      </c>
      <c r="J5" s="13">
        <v>47.6</v>
      </c>
      <c r="K5" s="13">
        <v>22.183333333333334</v>
      </c>
      <c r="L5" s="13">
        <v>26.366666666666667</v>
      </c>
      <c r="M5" s="13">
        <v>52.333333333333336</v>
      </c>
      <c r="N5" s="13">
        <v>59.3</v>
      </c>
      <c r="O5" s="13">
        <v>62.216666666666669</v>
      </c>
      <c r="P5" s="13">
        <v>140.81666666666666</v>
      </c>
      <c r="Q5" s="13">
        <v>24.2</v>
      </c>
      <c r="R5" s="13">
        <v>31.933333333333334</v>
      </c>
      <c r="S5" s="13">
        <v>26.366666666666667</v>
      </c>
      <c r="T5" s="13">
        <v>35.116666666666667</v>
      </c>
      <c r="U5" s="13">
        <v>12.516666666666667</v>
      </c>
      <c r="V5" s="13">
        <v>376.65</v>
      </c>
      <c r="W5" s="13">
        <v>65.13333333333334</v>
      </c>
      <c r="X5" s="13">
        <v>65.13333333333334</v>
      </c>
      <c r="Y5" s="13">
        <v>17.866666666666667</v>
      </c>
      <c r="Z5" s="13">
        <v>37.483333333333334</v>
      </c>
      <c r="AA5" s="13">
        <v>15.783333333333333</v>
      </c>
      <c r="AB5" s="13">
        <v>386.83333333333331</v>
      </c>
      <c r="AC5" s="13">
        <v>43</v>
      </c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B5" s="15">
        <v>0</v>
      </c>
      <c r="BC5" s="15">
        <v>0</v>
      </c>
      <c r="BD5" s="15">
        <f t="shared" ref="BD5:CY5" si="101">IF(E5&lt;&gt;"",IF(E5=DD$3,25,IF(E5=DD$4,24,IF(E5=DD$5,23,IF(E5=DD$6,22,IF(E5=DD$6,22,IF(E5=DD$7,21,IF(E5=DD$8,20,IF(E5=DD$9,19,IF(E5=DD$10,18,IF(E5=DD$11,17,0)))))))))),0)+BC5</f>
        <v>25</v>
      </c>
      <c r="BE5" s="15">
        <f t="shared" si="101"/>
        <v>50</v>
      </c>
      <c r="BF5" s="15">
        <f t="shared" si="101"/>
        <v>75</v>
      </c>
      <c r="BG5" s="15">
        <f t="shared" si="101"/>
        <v>98</v>
      </c>
      <c r="BH5" s="15">
        <f t="shared" si="101"/>
        <v>123</v>
      </c>
      <c r="BI5" s="15">
        <f t="shared" si="101"/>
        <v>148</v>
      </c>
      <c r="BJ5" s="15">
        <f t="shared" si="101"/>
        <v>173</v>
      </c>
      <c r="BK5" s="15">
        <f t="shared" si="101"/>
        <v>198</v>
      </c>
      <c r="BL5" s="15">
        <f t="shared" si="101"/>
        <v>221</v>
      </c>
      <c r="BM5" s="15">
        <f t="shared" si="101"/>
        <v>244</v>
      </c>
      <c r="BN5" s="15">
        <f t="shared" si="101"/>
        <v>269</v>
      </c>
      <c r="BO5" s="15">
        <f t="shared" si="101"/>
        <v>293</v>
      </c>
      <c r="BP5" s="15">
        <f t="shared" si="101"/>
        <v>316</v>
      </c>
      <c r="BQ5" s="15">
        <f t="shared" si="101"/>
        <v>341</v>
      </c>
      <c r="BR5" s="15">
        <f t="shared" si="101"/>
        <v>365</v>
      </c>
      <c r="BS5" s="15">
        <f t="shared" si="101"/>
        <v>390</v>
      </c>
      <c r="BT5" s="15">
        <f t="shared" si="101"/>
        <v>415</v>
      </c>
      <c r="BU5" s="15">
        <f t="shared" si="101"/>
        <v>436</v>
      </c>
      <c r="BV5" s="15">
        <f t="shared" si="101"/>
        <v>460</v>
      </c>
      <c r="BW5" s="15">
        <f t="shared" si="101"/>
        <v>485</v>
      </c>
      <c r="BX5" s="15">
        <f t="shared" si="101"/>
        <v>509</v>
      </c>
      <c r="BY5" s="15">
        <f t="shared" si="101"/>
        <v>532</v>
      </c>
      <c r="BZ5" s="15">
        <f t="shared" si="101"/>
        <v>556</v>
      </c>
      <c r="CA5" s="15">
        <f t="shared" si="101"/>
        <v>577</v>
      </c>
      <c r="CB5" s="15">
        <f t="shared" si="101"/>
        <v>602</v>
      </c>
      <c r="CC5" s="15">
        <f t="shared" si="101"/>
        <v>602</v>
      </c>
      <c r="CD5" s="15">
        <f t="shared" si="101"/>
        <v>602</v>
      </c>
      <c r="CE5" s="15">
        <f t="shared" si="101"/>
        <v>602</v>
      </c>
      <c r="CF5" s="15">
        <f t="shared" si="101"/>
        <v>602</v>
      </c>
      <c r="CG5" s="15">
        <f t="shared" si="101"/>
        <v>602</v>
      </c>
      <c r="CH5" s="15">
        <f t="shared" si="101"/>
        <v>602</v>
      </c>
      <c r="CI5" s="15">
        <f t="shared" si="101"/>
        <v>602</v>
      </c>
      <c r="CJ5" s="15">
        <f t="shared" si="101"/>
        <v>602</v>
      </c>
      <c r="CK5" s="15">
        <f t="shared" si="101"/>
        <v>602</v>
      </c>
      <c r="CL5" s="15">
        <f t="shared" si="101"/>
        <v>602</v>
      </c>
      <c r="CM5" s="15">
        <f t="shared" si="101"/>
        <v>602</v>
      </c>
      <c r="CN5" s="15">
        <f t="shared" si="101"/>
        <v>602</v>
      </c>
      <c r="CO5" s="15">
        <f t="shared" si="101"/>
        <v>602</v>
      </c>
      <c r="CP5" s="15">
        <f t="shared" si="101"/>
        <v>602</v>
      </c>
      <c r="CQ5" s="15">
        <f t="shared" si="101"/>
        <v>602</v>
      </c>
      <c r="CR5" s="15">
        <f t="shared" si="101"/>
        <v>602</v>
      </c>
      <c r="CS5" s="15">
        <f t="shared" si="101"/>
        <v>602</v>
      </c>
      <c r="CT5" s="15">
        <f t="shared" si="101"/>
        <v>602</v>
      </c>
      <c r="CU5" s="15">
        <f t="shared" si="101"/>
        <v>602</v>
      </c>
      <c r="CV5" s="15">
        <f t="shared" si="101"/>
        <v>602</v>
      </c>
      <c r="CW5" s="15">
        <f t="shared" si="101"/>
        <v>602</v>
      </c>
      <c r="CX5" s="15">
        <f t="shared" si="101"/>
        <v>602</v>
      </c>
      <c r="CY5" s="15">
        <f t="shared" si="101"/>
        <v>602</v>
      </c>
      <c r="DA5">
        <v>3</v>
      </c>
      <c r="DB5">
        <f t="shared" si="100"/>
        <v>42.516666666666666</v>
      </c>
      <c r="DC5">
        <f t="shared" si="49"/>
        <v>44.8</v>
      </c>
      <c r="DD5">
        <f t="shared" si="50"/>
        <v>136.44999999999999</v>
      </c>
      <c r="DE5">
        <f t="shared" si="51"/>
        <v>136.44999999999999</v>
      </c>
      <c r="DF5">
        <f t="shared" si="52"/>
        <v>26.916666666666668</v>
      </c>
      <c r="DG5">
        <f t="shared" si="53"/>
        <v>53.4</v>
      </c>
      <c r="DH5">
        <f t="shared" si="54"/>
        <v>97.716666666666669</v>
      </c>
      <c r="DI5">
        <f t="shared" si="55"/>
        <v>138.19999999999999</v>
      </c>
      <c r="DJ5">
        <f t="shared" si="56"/>
        <v>29.4</v>
      </c>
      <c r="DK5">
        <f t="shared" si="57"/>
        <v>40.35</v>
      </c>
      <c r="DL5">
        <f t="shared" si="58"/>
        <v>52.333333333333336</v>
      </c>
      <c r="DM5">
        <f t="shared" si="59"/>
        <v>59.3</v>
      </c>
      <c r="DN5">
        <f t="shared" si="60"/>
        <v>164.2</v>
      </c>
      <c r="DO5">
        <f t="shared" si="61"/>
        <v>214.91666666666666</v>
      </c>
      <c r="DP5">
        <f t="shared" si="62"/>
        <v>24.2</v>
      </c>
      <c r="DQ5">
        <f t="shared" si="63"/>
        <v>47.05</v>
      </c>
      <c r="DR5">
        <f t="shared" si="64"/>
        <v>27.1</v>
      </c>
      <c r="DS5">
        <f t="shared" si="65"/>
        <v>43.05</v>
      </c>
      <c r="DT5">
        <f t="shared" si="66"/>
        <v>21.616666666666667</v>
      </c>
      <c r="DU5">
        <f t="shared" si="67"/>
        <v>107.11666666666666</v>
      </c>
      <c r="DV5">
        <f t="shared" si="68"/>
        <v>149.41666666666666</v>
      </c>
      <c r="DW5">
        <f t="shared" si="69"/>
        <v>149.41666666666666</v>
      </c>
      <c r="DX5">
        <f t="shared" si="70"/>
        <v>28.316666666666666</v>
      </c>
      <c r="DY5">
        <f t="shared" si="71"/>
        <v>37.483333333333334</v>
      </c>
      <c r="DZ5">
        <f t="shared" si="72"/>
        <v>17.483333333333334</v>
      </c>
      <c r="EA5">
        <f t="shared" si="73"/>
        <v>253.53333333333333</v>
      </c>
      <c r="EB5">
        <f t="shared" si="74"/>
        <v>71.333333333333329</v>
      </c>
      <c r="EC5">
        <f t="shared" si="75"/>
        <v>171.1</v>
      </c>
      <c r="ED5" t="e">
        <f t="shared" si="76"/>
        <v>#NUM!</v>
      </c>
      <c r="EE5" t="e">
        <f t="shared" si="77"/>
        <v>#NUM!</v>
      </c>
      <c r="EF5" t="e">
        <f t="shared" si="78"/>
        <v>#NUM!</v>
      </c>
      <c r="EG5" t="e">
        <f t="shared" si="79"/>
        <v>#NUM!</v>
      </c>
      <c r="EH5" t="e">
        <f t="shared" si="80"/>
        <v>#NUM!</v>
      </c>
      <c r="EI5" t="e">
        <f t="shared" si="81"/>
        <v>#NUM!</v>
      </c>
      <c r="EJ5" t="e">
        <f t="shared" si="82"/>
        <v>#NUM!</v>
      </c>
      <c r="EK5" t="e">
        <f t="shared" si="83"/>
        <v>#NUM!</v>
      </c>
      <c r="EL5" t="e">
        <f t="shared" si="84"/>
        <v>#NUM!</v>
      </c>
      <c r="EM5" t="e">
        <f t="shared" si="85"/>
        <v>#NUM!</v>
      </c>
      <c r="EN5" t="e">
        <f t="shared" si="86"/>
        <v>#NUM!</v>
      </c>
      <c r="EO5" t="e">
        <f t="shared" si="87"/>
        <v>#NUM!</v>
      </c>
      <c r="EP5" t="e">
        <f t="shared" si="88"/>
        <v>#NUM!</v>
      </c>
      <c r="EQ5" t="e">
        <f t="shared" si="89"/>
        <v>#NUM!</v>
      </c>
      <c r="ER5" t="e">
        <f t="shared" si="90"/>
        <v>#NUM!</v>
      </c>
      <c r="ES5" t="e">
        <f t="shared" si="91"/>
        <v>#NUM!</v>
      </c>
      <c r="ET5" t="e">
        <f t="shared" si="92"/>
        <v>#NUM!</v>
      </c>
      <c r="EU5" t="e">
        <f t="shared" si="93"/>
        <v>#NUM!</v>
      </c>
      <c r="EV5" t="e">
        <f t="shared" si="94"/>
        <v>#NUM!</v>
      </c>
      <c r="EW5" t="e">
        <f t="shared" si="95"/>
        <v>#NUM!</v>
      </c>
      <c r="EX5" t="e">
        <f t="shared" si="96"/>
        <v>#NUM!</v>
      </c>
      <c r="EY5" t="e">
        <f t="shared" si="97"/>
        <v>#NUM!</v>
      </c>
    </row>
    <row r="6" spans="1:155" x14ac:dyDescent="0.25">
      <c r="A6" s="16">
        <f t="shared" si="98"/>
        <v>250</v>
      </c>
      <c r="B6" t="s">
        <v>17</v>
      </c>
      <c r="C6" s="13">
        <v>906.68333333333328</v>
      </c>
      <c r="D6" s="13">
        <v>906.68333333333328</v>
      </c>
      <c r="E6" s="13">
        <v>744.3</v>
      </c>
      <c r="F6" s="13">
        <v>757.88333333333333</v>
      </c>
      <c r="G6" s="13">
        <v>784.0333333333333</v>
      </c>
      <c r="H6" s="13">
        <v>792.7</v>
      </c>
      <c r="I6" s="13">
        <v>370.88333333333333</v>
      </c>
      <c r="J6" s="13">
        <v>606.29999999999995</v>
      </c>
      <c r="K6" s="13">
        <v>295.96666666666664</v>
      </c>
      <c r="L6" s="13">
        <v>345.53333333333336</v>
      </c>
      <c r="M6" s="13">
        <v>288.75</v>
      </c>
      <c r="N6" s="13">
        <v>446.43333333333334</v>
      </c>
      <c r="O6" s="13">
        <v>975.4</v>
      </c>
      <c r="P6" s="13">
        <v>998.95</v>
      </c>
      <c r="Q6" s="13">
        <v>579.2166666666667</v>
      </c>
      <c r="R6" s="13">
        <v>923.86666666666667</v>
      </c>
      <c r="S6" s="13">
        <v>845.9666666666667</v>
      </c>
      <c r="T6" s="13">
        <v>888.93333333333328</v>
      </c>
      <c r="U6" s="13">
        <v>794.6</v>
      </c>
      <c r="V6" s="13">
        <v>956.26666666666665</v>
      </c>
      <c r="W6" s="13">
        <v>958.7166666666667</v>
      </c>
      <c r="X6" s="13">
        <v>1672.7833333333333</v>
      </c>
      <c r="Y6" s="13">
        <v>361.11666666666667</v>
      </c>
      <c r="Z6" s="13">
        <v>361.11666666666667</v>
      </c>
      <c r="AA6" s="13">
        <v>240.91666666666666</v>
      </c>
      <c r="AB6" s="13">
        <v>933.33333333333337</v>
      </c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B6" s="15">
        <v>0</v>
      </c>
      <c r="BC6" s="15">
        <v>0</v>
      </c>
      <c r="BD6" s="15">
        <f t="shared" ref="BD6:CY6" si="102">IF(E6&lt;&gt;"",IF(E6=DD$3,25,IF(E6=DD$4,24,IF(E6=DD$5,23,IF(E6=DD$6,22,IF(E6=DD$6,22,IF(E6=DD$7,21,IF(E6=DD$8,20,IF(E6=DD$9,19,IF(E6=DD$10,18,IF(E6=DD$11,17,0)))))))))),0)+BC6</f>
        <v>0</v>
      </c>
      <c r="BE6" s="15">
        <f t="shared" si="102"/>
        <v>0</v>
      </c>
      <c r="BF6" s="15">
        <f t="shared" si="102"/>
        <v>0</v>
      </c>
      <c r="BG6" s="15">
        <f t="shared" si="102"/>
        <v>0</v>
      </c>
      <c r="BH6" s="15">
        <f t="shared" si="102"/>
        <v>0</v>
      </c>
      <c r="BI6" s="15">
        <f t="shared" si="102"/>
        <v>18</v>
      </c>
      <c r="BJ6" s="15">
        <f t="shared" si="102"/>
        <v>36</v>
      </c>
      <c r="BK6" s="15">
        <f t="shared" si="102"/>
        <v>53</v>
      </c>
      <c r="BL6" s="15">
        <f t="shared" si="102"/>
        <v>53</v>
      </c>
      <c r="BM6" s="15">
        <f t="shared" si="102"/>
        <v>53</v>
      </c>
      <c r="BN6" s="15">
        <f t="shared" si="102"/>
        <v>71</v>
      </c>
      <c r="BO6" s="15">
        <f t="shared" si="102"/>
        <v>89</v>
      </c>
      <c r="BP6" s="15">
        <f t="shared" si="102"/>
        <v>106</v>
      </c>
      <c r="BQ6" s="15">
        <f t="shared" si="102"/>
        <v>106</v>
      </c>
      <c r="BR6" s="15">
        <f t="shared" si="102"/>
        <v>106</v>
      </c>
      <c r="BS6" s="15">
        <f t="shared" si="102"/>
        <v>123</v>
      </c>
      <c r="BT6" s="15">
        <f t="shared" si="102"/>
        <v>123</v>
      </c>
      <c r="BU6" s="15">
        <f t="shared" si="102"/>
        <v>141</v>
      </c>
      <c r="BV6" s="15">
        <f t="shared" si="102"/>
        <v>158</v>
      </c>
      <c r="BW6" s="15">
        <f t="shared" si="102"/>
        <v>175</v>
      </c>
      <c r="BX6" s="15">
        <f t="shared" si="102"/>
        <v>193</v>
      </c>
      <c r="BY6" s="15">
        <f t="shared" si="102"/>
        <v>212</v>
      </c>
      <c r="BZ6" s="15">
        <f t="shared" si="102"/>
        <v>232</v>
      </c>
      <c r="CA6" s="15">
        <f t="shared" si="102"/>
        <v>250</v>
      </c>
      <c r="CB6" s="15">
        <f t="shared" si="102"/>
        <v>250</v>
      </c>
      <c r="CC6" s="15">
        <f t="shared" si="102"/>
        <v>250</v>
      </c>
      <c r="CD6" s="15">
        <f t="shared" si="102"/>
        <v>250</v>
      </c>
      <c r="CE6" s="15">
        <f t="shared" si="102"/>
        <v>250</v>
      </c>
      <c r="CF6" s="15">
        <f t="shared" si="102"/>
        <v>250</v>
      </c>
      <c r="CG6" s="15">
        <f t="shared" si="102"/>
        <v>250</v>
      </c>
      <c r="CH6" s="15">
        <f t="shared" si="102"/>
        <v>250</v>
      </c>
      <c r="CI6" s="15">
        <f t="shared" si="102"/>
        <v>250</v>
      </c>
      <c r="CJ6" s="15">
        <f t="shared" si="102"/>
        <v>250</v>
      </c>
      <c r="CK6" s="15">
        <f t="shared" si="102"/>
        <v>250</v>
      </c>
      <c r="CL6" s="15">
        <f t="shared" si="102"/>
        <v>250</v>
      </c>
      <c r="CM6" s="15">
        <f t="shared" si="102"/>
        <v>250</v>
      </c>
      <c r="CN6" s="15">
        <f t="shared" si="102"/>
        <v>250</v>
      </c>
      <c r="CO6" s="15">
        <f t="shared" si="102"/>
        <v>250</v>
      </c>
      <c r="CP6" s="15">
        <f t="shared" si="102"/>
        <v>250</v>
      </c>
      <c r="CQ6" s="15">
        <f t="shared" si="102"/>
        <v>250</v>
      </c>
      <c r="CR6" s="15">
        <f t="shared" si="102"/>
        <v>250</v>
      </c>
      <c r="CS6" s="15">
        <f t="shared" si="102"/>
        <v>250</v>
      </c>
      <c r="CT6" s="15">
        <f t="shared" si="102"/>
        <v>250</v>
      </c>
      <c r="CU6" s="15">
        <f t="shared" si="102"/>
        <v>250</v>
      </c>
      <c r="CV6" s="15">
        <f t="shared" si="102"/>
        <v>250</v>
      </c>
      <c r="CW6" s="15">
        <f t="shared" si="102"/>
        <v>250</v>
      </c>
      <c r="CX6" s="15">
        <f t="shared" si="102"/>
        <v>250</v>
      </c>
      <c r="CY6" s="15">
        <f t="shared" si="102"/>
        <v>250</v>
      </c>
      <c r="DA6">
        <v>4</v>
      </c>
      <c r="DB6">
        <f t="shared" si="100"/>
        <v>55.3</v>
      </c>
      <c r="DC6">
        <f t="shared" si="49"/>
        <v>76.433333333333337</v>
      </c>
      <c r="DD6">
        <f t="shared" si="50"/>
        <v>152.80000000000001</v>
      </c>
      <c r="DE6">
        <f t="shared" si="51"/>
        <v>158.23333333333332</v>
      </c>
      <c r="DF6">
        <f t="shared" si="52"/>
        <v>70.05</v>
      </c>
      <c r="DG6">
        <f t="shared" si="53"/>
        <v>97.8</v>
      </c>
      <c r="DH6">
        <f t="shared" si="54"/>
        <v>116.83333333333333</v>
      </c>
      <c r="DI6">
        <f t="shared" si="55"/>
        <v>183.23333333333332</v>
      </c>
      <c r="DJ6">
        <f t="shared" si="56"/>
        <v>87.816666666666663</v>
      </c>
      <c r="DK6">
        <f t="shared" si="57"/>
        <v>94.666666666666671</v>
      </c>
      <c r="DL6">
        <f t="shared" si="58"/>
        <v>68.966666666666669</v>
      </c>
      <c r="DM6">
        <f t="shared" si="59"/>
        <v>91.266666666666666</v>
      </c>
      <c r="DN6">
        <f t="shared" si="60"/>
        <v>226.5</v>
      </c>
      <c r="DO6">
        <f t="shared" si="61"/>
        <v>226.71666666666667</v>
      </c>
      <c r="DP6">
        <f t="shared" si="62"/>
        <v>84.88333333333334</v>
      </c>
      <c r="DQ6">
        <f t="shared" si="63"/>
        <v>144</v>
      </c>
      <c r="DR6">
        <f t="shared" si="64"/>
        <v>32.016666666666666</v>
      </c>
      <c r="DS6">
        <f t="shared" si="65"/>
        <v>44.25</v>
      </c>
      <c r="DT6">
        <f t="shared" si="66"/>
        <v>70.316666666666663</v>
      </c>
      <c r="DU6">
        <f t="shared" si="67"/>
        <v>335.68333333333334</v>
      </c>
      <c r="DV6">
        <f t="shared" si="68"/>
        <v>150.53333333333333</v>
      </c>
      <c r="DW6">
        <f t="shared" si="69"/>
        <v>150.53333333333333</v>
      </c>
      <c r="DX6">
        <f t="shared" si="70"/>
        <v>29.033333333333335</v>
      </c>
      <c r="DY6">
        <f t="shared" si="71"/>
        <v>66.683333333333337</v>
      </c>
      <c r="DZ6">
        <f t="shared" si="72"/>
        <v>19.2</v>
      </c>
      <c r="EA6">
        <f t="shared" si="73"/>
        <v>343.28333333333336</v>
      </c>
      <c r="EB6">
        <f t="shared" si="74"/>
        <v>92.283333333333331</v>
      </c>
      <c r="EC6">
        <f t="shared" si="75"/>
        <v>254.38333333333333</v>
      </c>
      <c r="ED6" t="e">
        <f t="shared" si="76"/>
        <v>#NUM!</v>
      </c>
      <c r="EE6" t="e">
        <f t="shared" si="77"/>
        <v>#NUM!</v>
      </c>
      <c r="EF6" t="e">
        <f t="shared" si="78"/>
        <v>#NUM!</v>
      </c>
      <c r="EG6" t="e">
        <f t="shared" si="79"/>
        <v>#NUM!</v>
      </c>
      <c r="EH6" t="e">
        <f t="shared" si="80"/>
        <v>#NUM!</v>
      </c>
      <c r="EI6" t="e">
        <f t="shared" si="81"/>
        <v>#NUM!</v>
      </c>
      <c r="EJ6" t="e">
        <f t="shared" si="82"/>
        <v>#NUM!</v>
      </c>
      <c r="EK6" t="e">
        <f t="shared" si="83"/>
        <v>#NUM!</v>
      </c>
      <c r="EL6" t="e">
        <f t="shared" si="84"/>
        <v>#NUM!</v>
      </c>
      <c r="EM6" t="e">
        <f t="shared" si="85"/>
        <v>#NUM!</v>
      </c>
      <c r="EN6" t="e">
        <f t="shared" si="86"/>
        <v>#NUM!</v>
      </c>
      <c r="EO6" t="e">
        <f t="shared" si="87"/>
        <v>#NUM!</v>
      </c>
      <c r="EP6" t="e">
        <f t="shared" si="88"/>
        <v>#NUM!</v>
      </c>
      <c r="EQ6" t="e">
        <f t="shared" si="89"/>
        <v>#NUM!</v>
      </c>
      <c r="ER6" t="e">
        <f t="shared" si="90"/>
        <v>#NUM!</v>
      </c>
      <c r="ES6" t="e">
        <f t="shared" si="91"/>
        <v>#NUM!</v>
      </c>
      <c r="ET6" t="e">
        <f t="shared" si="92"/>
        <v>#NUM!</v>
      </c>
      <c r="EU6" t="e">
        <f t="shared" si="93"/>
        <v>#NUM!</v>
      </c>
      <c r="EV6" t="e">
        <f t="shared" si="94"/>
        <v>#NUM!</v>
      </c>
      <c r="EW6" t="e">
        <f t="shared" si="95"/>
        <v>#NUM!</v>
      </c>
      <c r="EX6" t="e">
        <f t="shared" si="96"/>
        <v>#NUM!</v>
      </c>
      <c r="EY6" t="e">
        <f t="shared" si="97"/>
        <v>#NUM!</v>
      </c>
    </row>
    <row r="7" spans="1:155" x14ac:dyDescent="0.25">
      <c r="A7" s="16">
        <f t="shared" si="98"/>
        <v>573</v>
      </c>
      <c r="B7" t="s">
        <v>18</v>
      </c>
      <c r="C7" s="13">
        <v>259.63333333333333</v>
      </c>
      <c r="D7" s="13">
        <v>259.63333333333333</v>
      </c>
      <c r="E7" s="13">
        <v>152.80000000000001</v>
      </c>
      <c r="F7" s="13">
        <v>158.23333333333332</v>
      </c>
      <c r="G7" s="13">
        <v>113.95</v>
      </c>
      <c r="H7" s="13">
        <v>134.68333333333334</v>
      </c>
      <c r="I7" s="13">
        <v>97.716666666666669</v>
      </c>
      <c r="J7" s="13">
        <v>211.66666666666666</v>
      </c>
      <c r="K7" s="13">
        <v>148.43333333333334</v>
      </c>
      <c r="L7" s="13">
        <v>193.46666666666667</v>
      </c>
      <c r="M7" s="13">
        <v>102.91666666666667</v>
      </c>
      <c r="N7" s="13">
        <v>113.71666666666667</v>
      </c>
      <c r="O7" s="13">
        <v>235.93333333333334</v>
      </c>
      <c r="P7" s="13">
        <v>300.83333333333331</v>
      </c>
      <c r="Q7" s="13">
        <v>120.51666666666667</v>
      </c>
      <c r="R7" s="13">
        <v>144</v>
      </c>
      <c r="S7" s="13">
        <v>16.966666666666665</v>
      </c>
      <c r="T7" s="13">
        <v>43.05</v>
      </c>
      <c r="U7" s="13">
        <v>16.666666666666668</v>
      </c>
      <c r="V7" s="13">
        <v>491.3</v>
      </c>
      <c r="W7" s="13">
        <v>150.53333333333333</v>
      </c>
      <c r="X7" s="13">
        <v>150.53333333333333</v>
      </c>
      <c r="Y7" s="13">
        <v>17.733333333333334</v>
      </c>
      <c r="Z7" s="13">
        <v>66.683333333333337</v>
      </c>
      <c r="AA7" s="13">
        <v>13.1</v>
      </c>
      <c r="AB7" s="13">
        <v>343.28333333333336</v>
      </c>
      <c r="AC7" s="13">
        <v>92.283333333333331</v>
      </c>
      <c r="AD7" s="13">
        <v>171.1</v>
      </c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B7" s="15">
        <v>0</v>
      </c>
      <c r="BC7" s="15">
        <v>0</v>
      </c>
      <c r="BD7" s="15">
        <f t="shared" ref="BD7:CY7" si="103">IF(E7&lt;&gt;"",IF(E7=DD$3,25,IF(E7=DD$4,24,IF(E7=DD$5,23,IF(E7=DD$6,22,IF(E7=DD$6,22,IF(E7=DD$7,21,IF(E7=DD$8,20,IF(E7=DD$9,19,IF(E7=DD$10,18,IF(E7=DD$11,17,0)))))))))),0)+BC7</f>
        <v>22</v>
      </c>
      <c r="BE7" s="15">
        <f t="shared" si="103"/>
        <v>44</v>
      </c>
      <c r="BF7" s="15">
        <f t="shared" si="103"/>
        <v>65</v>
      </c>
      <c r="BG7" s="15">
        <f t="shared" si="103"/>
        <v>86</v>
      </c>
      <c r="BH7" s="15">
        <f t="shared" si="103"/>
        <v>109</v>
      </c>
      <c r="BI7" s="15">
        <f t="shared" si="103"/>
        <v>129</v>
      </c>
      <c r="BJ7" s="15">
        <f t="shared" si="103"/>
        <v>150</v>
      </c>
      <c r="BK7" s="15">
        <f t="shared" si="103"/>
        <v>171</v>
      </c>
      <c r="BL7" s="15">
        <f t="shared" si="103"/>
        <v>192</v>
      </c>
      <c r="BM7" s="15">
        <f t="shared" si="103"/>
        <v>213</v>
      </c>
      <c r="BN7" s="15">
        <f t="shared" si="103"/>
        <v>234</v>
      </c>
      <c r="BO7" s="15">
        <f t="shared" si="103"/>
        <v>255</v>
      </c>
      <c r="BP7" s="15">
        <f t="shared" si="103"/>
        <v>276</v>
      </c>
      <c r="BQ7" s="15">
        <f t="shared" si="103"/>
        <v>298</v>
      </c>
      <c r="BR7" s="15">
        <f t="shared" si="103"/>
        <v>323</v>
      </c>
      <c r="BS7" s="15">
        <f t="shared" si="103"/>
        <v>346</v>
      </c>
      <c r="BT7" s="15">
        <f t="shared" si="103"/>
        <v>370</v>
      </c>
      <c r="BU7" s="15">
        <f t="shared" si="103"/>
        <v>390</v>
      </c>
      <c r="BV7" s="15">
        <f t="shared" si="103"/>
        <v>412</v>
      </c>
      <c r="BW7" s="15">
        <f t="shared" si="103"/>
        <v>434</v>
      </c>
      <c r="BX7" s="15">
        <f t="shared" si="103"/>
        <v>459</v>
      </c>
      <c r="BY7" s="15">
        <f t="shared" si="103"/>
        <v>481</v>
      </c>
      <c r="BZ7" s="15">
        <f t="shared" si="103"/>
        <v>506</v>
      </c>
      <c r="CA7" s="15">
        <f t="shared" si="103"/>
        <v>528</v>
      </c>
      <c r="CB7" s="15">
        <f t="shared" si="103"/>
        <v>550</v>
      </c>
      <c r="CC7" s="15">
        <f t="shared" si="103"/>
        <v>573</v>
      </c>
      <c r="CD7" s="15">
        <f t="shared" si="103"/>
        <v>573</v>
      </c>
      <c r="CE7" s="15">
        <f t="shared" si="103"/>
        <v>573</v>
      </c>
      <c r="CF7" s="15">
        <f t="shared" si="103"/>
        <v>573</v>
      </c>
      <c r="CG7" s="15">
        <f t="shared" si="103"/>
        <v>573</v>
      </c>
      <c r="CH7" s="15">
        <f t="shared" si="103"/>
        <v>573</v>
      </c>
      <c r="CI7" s="15">
        <f t="shared" si="103"/>
        <v>573</v>
      </c>
      <c r="CJ7" s="15">
        <f t="shared" si="103"/>
        <v>573</v>
      </c>
      <c r="CK7" s="15">
        <f t="shared" si="103"/>
        <v>573</v>
      </c>
      <c r="CL7" s="15">
        <f t="shared" si="103"/>
        <v>573</v>
      </c>
      <c r="CM7" s="15">
        <f t="shared" si="103"/>
        <v>573</v>
      </c>
      <c r="CN7" s="15">
        <f t="shared" si="103"/>
        <v>573</v>
      </c>
      <c r="CO7" s="15">
        <f t="shared" si="103"/>
        <v>573</v>
      </c>
      <c r="CP7" s="15">
        <f t="shared" si="103"/>
        <v>573</v>
      </c>
      <c r="CQ7" s="15">
        <f t="shared" si="103"/>
        <v>573</v>
      </c>
      <c r="CR7" s="15">
        <f t="shared" si="103"/>
        <v>573</v>
      </c>
      <c r="CS7" s="15">
        <f t="shared" si="103"/>
        <v>573</v>
      </c>
      <c r="CT7" s="15">
        <f t="shared" si="103"/>
        <v>573</v>
      </c>
      <c r="CU7" s="15">
        <f t="shared" si="103"/>
        <v>573</v>
      </c>
      <c r="CV7" s="15">
        <f t="shared" si="103"/>
        <v>573</v>
      </c>
      <c r="CW7" s="15">
        <f t="shared" si="103"/>
        <v>573</v>
      </c>
      <c r="CX7" s="15">
        <f t="shared" si="103"/>
        <v>573</v>
      </c>
      <c r="CY7" s="15">
        <f t="shared" si="103"/>
        <v>573</v>
      </c>
      <c r="DA7">
        <v>5</v>
      </c>
      <c r="DB7">
        <f t="shared" si="100"/>
        <v>76.433333333333337</v>
      </c>
      <c r="DC7">
        <f t="shared" si="49"/>
        <v>128.53333333333333</v>
      </c>
      <c r="DD7">
        <f t="shared" si="50"/>
        <v>156.18333333333334</v>
      </c>
      <c r="DE7">
        <f t="shared" si="51"/>
        <v>166.01666666666668</v>
      </c>
      <c r="DF7">
        <f t="shared" si="52"/>
        <v>113.95</v>
      </c>
      <c r="DG7">
        <f t="shared" si="53"/>
        <v>134.68333333333334</v>
      </c>
      <c r="DH7">
        <f t="shared" si="54"/>
        <v>135.66666666666666</v>
      </c>
      <c r="DI7">
        <f t="shared" si="55"/>
        <v>188.23333333333332</v>
      </c>
      <c r="DJ7">
        <f t="shared" si="56"/>
        <v>148.43333333333334</v>
      </c>
      <c r="DK7">
        <f t="shared" si="57"/>
        <v>193.46666666666667</v>
      </c>
      <c r="DL7">
        <f t="shared" si="58"/>
        <v>102.91666666666667</v>
      </c>
      <c r="DM7">
        <f t="shared" si="59"/>
        <v>113.71666666666667</v>
      </c>
      <c r="DN7">
        <f t="shared" si="60"/>
        <v>235.93333333333334</v>
      </c>
      <c r="DO7">
        <f t="shared" si="61"/>
        <v>300.83333333333331</v>
      </c>
      <c r="DP7">
        <f t="shared" si="62"/>
        <v>120.51666666666667</v>
      </c>
      <c r="DQ7">
        <f t="shared" si="63"/>
        <v>145.85</v>
      </c>
      <c r="DR7">
        <f t="shared" si="64"/>
        <v>37.299999999999997</v>
      </c>
      <c r="DS7">
        <f t="shared" si="65"/>
        <v>56</v>
      </c>
      <c r="DT7">
        <f t="shared" si="66"/>
        <v>84.933333333333337</v>
      </c>
      <c r="DU7">
        <f t="shared" si="67"/>
        <v>376.65</v>
      </c>
      <c r="DV7">
        <f t="shared" si="68"/>
        <v>267.06666666666666</v>
      </c>
      <c r="DW7">
        <f t="shared" si="69"/>
        <v>267.06666666666666</v>
      </c>
      <c r="DX7">
        <f t="shared" si="70"/>
        <v>180.78333333333333</v>
      </c>
      <c r="DY7">
        <f t="shared" si="71"/>
        <v>304.55</v>
      </c>
      <c r="DZ7">
        <f t="shared" si="72"/>
        <v>187.4</v>
      </c>
      <c r="EA7">
        <f t="shared" si="73"/>
        <v>386.83333333333331</v>
      </c>
      <c r="EB7">
        <f t="shared" si="74"/>
        <v>93.533333333333331</v>
      </c>
      <c r="EC7" t="e">
        <f t="shared" si="75"/>
        <v>#NUM!</v>
      </c>
      <c r="ED7" t="e">
        <f t="shared" si="76"/>
        <v>#NUM!</v>
      </c>
      <c r="EE7" t="e">
        <f t="shared" si="77"/>
        <v>#NUM!</v>
      </c>
      <c r="EF7" t="e">
        <f t="shared" si="78"/>
        <v>#NUM!</v>
      </c>
      <c r="EG7" t="e">
        <f t="shared" si="79"/>
        <v>#NUM!</v>
      </c>
      <c r="EH7" t="e">
        <f t="shared" si="80"/>
        <v>#NUM!</v>
      </c>
      <c r="EI7" t="e">
        <f t="shared" si="81"/>
        <v>#NUM!</v>
      </c>
      <c r="EJ7" t="e">
        <f t="shared" si="82"/>
        <v>#NUM!</v>
      </c>
      <c r="EK7" t="e">
        <f t="shared" si="83"/>
        <v>#NUM!</v>
      </c>
      <c r="EL7" t="e">
        <f t="shared" si="84"/>
        <v>#NUM!</v>
      </c>
      <c r="EM7" t="e">
        <f t="shared" si="85"/>
        <v>#NUM!</v>
      </c>
      <c r="EN7" t="e">
        <f t="shared" si="86"/>
        <v>#NUM!</v>
      </c>
      <c r="EO7" t="e">
        <f t="shared" si="87"/>
        <v>#NUM!</v>
      </c>
      <c r="EP7" t="e">
        <f t="shared" si="88"/>
        <v>#NUM!</v>
      </c>
      <c r="EQ7" t="e">
        <f t="shared" si="89"/>
        <v>#NUM!</v>
      </c>
      <c r="ER7" t="e">
        <f t="shared" si="90"/>
        <v>#NUM!</v>
      </c>
      <c r="ES7" t="e">
        <f t="shared" si="91"/>
        <v>#NUM!</v>
      </c>
      <c r="ET7" t="e">
        <f t="shared" si="92"/>
        <v>#NUM!</v>
      </c>
      <c r="EU7" t="e">
        <f t="shared" si="93"/>
        <v>#NUM!</v>
      </c>
      <c r="EV7" t="e">
        <f t="shared" si="94"/>
        <v>#NUM!</v>
      </c>
      <c r="EW7" t="e">
        <f t="shared" si="95"/>
        <v>#NUM!</v>
      </c>
      <c r="EX7" t="e">
        <f t="shared" si="96"/>
        <v>#NUM!</v>
      </c>
      <c r="EY7" t="e">
        <f t="shared" si="97"/>
        <v>#NUM!</v>
      </c>
    </row>
    <row r="8" spans="1:155" x14ac:dyDescent="0.25">
      <c r="A8" s="16">
        <f t="shared" si="98"/>
        <v>0</v>
      </c>
      <c r="B8" t="s">
        <v>19</v>
      </c>
      <c r="C8" s="13">
        <v>1019.8333333333334</v>
      </c>
      <c r="D8" s="13">
        <v>1019.8333333333334</v>
      </c>
      <c r="E8" s="13">
        <v>955.7166666666667</v>
      </c>
      <c r="F8" s="13">
        <v>955.7166666666667</v>
      </c>
      <c r="G8" s="13">
        <v>842.95</v>
      </c>
      <c r="H8" s="13">
        <v>847.73333333333335</v>
      </c>
      <c r="I8" s="13">
        <v>698.98333333333335</v>
      </c>
      <c r="J8" s="13">
        <v>734.91666666666663</v>
      </c>
      <c r="K8" s="13">
        <v>463.23333333333335</v>
      </c>
      <c r="L8" s="13">
        <v>492.88333333333333</v>
      </c>
      <c r="M8" s="13">
        <v>961.91666666666663</v>
      </c>
      <c r="N8" s="13">
        <v>965.35</v>
      </c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B8" s="15">
        <v>0</v>
      </c>
      <c r="BC8" s="15">
        <v>0</v>
      </c>
      <c r="BD8" s="15">
        <f t="shared" ref="BD8:CY8" si="104">IF(E8&lt;&gt;"",IF(E8=DD$3,25,IF(E8=DD$4,24,IF(E8=DD$5,23,IF(E8=DD$6,22,IF(E8=DD$6,22,IF(E8=DD$7,21,IF(E8=DD$8,20,IF(E8=DD$9,19,IF(E8=DD$10,18,IF(E8=DD$11,17,0)))))))))),0)+BC8</f>
        <v>0</v>
      </c>
      <c r="BE8" s="15">
        <f t="shared" si="104"/>
        <v>0</v>
      </c>
      <c r="BF8" s="15">
        <f t="shared" si="104"/>
        <v>0</v>
      </c>
      <c r="BG8" s="15">
        <f t="shared" si="104"/>
        <v>0</v>
      </c>
      <c r="BH8" s="15">
        <f t="shared" si="104"/>
        <v>0</v>
      </c>
      <c r="BI8" s="15">
        <f t="shared" si="104"/>
        <v>0</v>
      </c>
      <c r="BJ8" s="15">
        <f t="shared" si="104"/>
        <v>0</v>
      </c>
      <c r="BK8" s="15">
        <f t="shared" si="104"/>
        <v>0</v>
      </c>
      <c r="BL8" s="15">
        <f t="shared" si="104"/>
        <v>0</v>
      </c>
      <c r="BM8" s="15">
        <f t="shared" si="104"/>
        <v>0</v>
      </c>
      <c r="BN8" s="15">
        <f t="shared" si="104"/>
        <v>0</v>
      </c>
      <c r="BO8" s="15">
        <f t="shared" si="104"/>
        <v>0</v>
      </c>
      <c r="BP8" s="15">
        <f t="shared" si="104"/>
        <v>0</v>
      </c>
      <c r="BQ8" s="15">
        <f t="shared" si="104"/>
        <v>0</v>
      </c>
      <c r="BR8" s="15">
        <f t="shared" si="104"/>
        <v>0</v>
      </c>
      <c r="BS8" s="15">
        <f t="shared" si="104"/>
        <v>0</v>
      </c>
      <c r="BT8" s="15">
        <f t="shared" si="104"/>
        <v>0</v>
      </c>
      <c r="BU8" s="15">
        <f t="shared" si="104"/>
        <v>0</v>
      </c>
      <c r="BV8" s="15">
        <f t="shared" si="104"/>
        <v>0</v>
      </c>
      <c r="BW8" s="15">
        <f t="shared" si="104"/>
        <v>0</v>
      </c>
      <c r="BX8" s="15">
        <f t="shared" si="104"/>
        <v>0</v>
      </c>
      <c r="BY8" s="15">
        <f t="shared" si="104"/>
        <v>0</v>
      </c>
      <c r="BZ8" s="15">
        <f t="shared" si="104"/>
        <v>0</v>
      </c>
      <c r="CA8" s="15">
        <f t="shared" si="104"/>
        <v>0</v>
      </c>
      <c r="CB8" s="15">
        <f t="shared" si="104"/>
        <v>0</v>
      </c>
      <c r="CC8" s="15">
        <f t="shared" si="104"/>
        <v>0</v>
      </c>
      <c r="CD8" s="15">
        <f t="shared" si="104"/>
        <v>0</v>
      </c>
      <c r="CE8" s="15">
        <f t="shared" si="104"/>
        <v>0</v>
      </c>
      <c r="CF8" s="15">
        <f t="shared" si="104"/>
        <v>0</v>
      </c>
      <c r="CG8" s="15">
        <f t="shared" si="104"/>
        <v>0</v>
      </c>
      <c r="CH8" s="15">
        <f t="shared" si="104"/>
        <v>0</v>
      </c>
      <c r="CI8" s="15">
        <f t="shared" si="104"/>
        <v>0</v>
      </c>
      <c r="CJ8" s="15">
        <f t="shared" si="104"/>
        <v>0</v>
      </c>
      <c r="CK8" s="15">
        <f t="shared" si="104"/>
        <v>0</v>
      </c>
      <c r="CL8" s="15">
        <f t="shared" si="104"/>
        <v>0</v>
      </c>
      <c r="CM8" s="15">
        <f t="shared" si="104"/>
        <v>0</v>
      </c>
      <c r="CN8" s="15">
        <f t="shared" si="104"/>
        <v>0</v>
      </c>
      <c r="CO8" s="15">
        <f t="shared" si="104"/>
        <v>0</v>
      </c>
      <c r="CP8" s="15">
        <f t="shared" si="104"/>
        <v>0</v>
      </c>
      <c r="CQ8" s="15">
        <f t="shared" si="104"/>
        <v>0</v>
      </c>
      <c r="CR8" s="15">
        <f t="shared" si="104"/>
        <v>0</v>
      </c>
      <c r="CS8" s="15">
        <f t="shared" si="104"/>
        <v>0</v>
      </c>
      <c r="CT8" s="15">
        <f t="shared" si="104"/>
        <v>0</v>
      </c>
      <c r="CU8" s="15">
        <f t="shared" si="104"/>
        <v>0</v>
      </c>
      <c r="CV8" s="15">
        <f t="shared" si="104"/>
        <v>0</v>
      </c>
      <c r="CW8" s="15">
        <f t="shared" si="104"/>
        <v>0</v>
      </c>
      <c r="CX8" s="15">
        <f t="shared" si="104"/>
        <v>0</v>
      </c>
      <c r="CY8" s="15">
        <f t="shared" si="104"/>
        <v>0</v>
      </c>
      <c r="DA8">
        <v>6</v>
      </c>
      <c r="DB8">
        <f t="shared" si="100"/>
        <v>128.53333333333333</v>
      </c>
      <c r="DC8">
        <f t="shared" si="49"/>
        <v>176.18333333333334</v>
      </c>
      <c r="DD8">
        <f t="shared" si="50"/>
        <v>238.4</v>
      </c>
      <c r="DE8">
        <f t="shared" si="51"/>
        <v>240.58333333333334</v>
      </c>
      <c r="DF8">
        <f t="shared" si="52"/>
        <v>117.55</v>
      </c>
      <c r="DG8">
        <f t="shared" si="53"/>
        <v>136.91666666666666</v>
      </c>
      <c r="DH8">
        <f t="shared" si="54"/>
        <v>137.80000000000001</v>
      </c>
      <c r="DI8">
        <f t="shared" si="55"/>
        <v>211.66666666666666</v>
      </c>
      <c r="DJ8">
        <f t="shared" si="56"/>
        <v>238.11666666666667</v>
      </c>
      <c r="DK8">
        <f t="shared" si="57"/>
        <v>258.53333333333336</v>
      </c>
      <c r="DL8">
        <f t="shared" si="58"/>
        <v>213.9</v>
      </c>
      <c r="DM8">
        <f t="shared" si="59"/>
        <v>241.8</v>
      </c>
      <c r="DN8">
        <f t="shared" si="60"/>
        <v>799.48333333333335</v>
      </c>
      <c r="DO8">
        <f t="shared" si="61"/>
        <v>830.65</v>
      </c>
      <c r="DP8">
        <f t="shared" si="62"/>
        <v>139.44999999999999</v>
      </c>
      <c r="DQ8">
        <f t="shared" si="63"/>
        <v>157.83333333333334</v>
      </c>
      <c r="DR8">
        <f t="shared" si="64"/>
        <v>78.13333333333334</v>
      </c>
      <c r="DS8">
        <f t="shared" si="65"/>
        <v>101.96666666666667</v>
      </c>
      <c r="DT8">
        <f t="shared" si="66"/>
        <v>147.96666666666667</v>
      </c>
      <c r="DU8">
        <f t="shared" si="67"/>
        <v>491.3</v>
      </c>
      <c r="DV8">
        <f t="shared" si="68"/>
        <v>276.55</v>
      </c>
      <c r="DW8">
        <f t="shared" si="69"/>
        <v>276.55</v>
      </c>
      <c r="DX8">
        <f t="shared" si="70"/>
        <v>304.55</v>
      </c>
      <c r="DY8">
        <f t="shared" si="71"/>
        <v>315.08333333333331</v>
      </c>
      <c r="DZ8">
        <f t="shared" si="72"/>
        <v>240.91666666666666</v>
      </c>
      <c r="EA8">
        <f t="shared" si="73"/>
        <v>683.8</v>
      </c>
      <c r="EB8">
        <f t="shared" si="74"/>
        <v>254.08333333333334</v>
      </c>
      <c r="EC8" t="e">
        <f t="shared" si="75"/>
        <v>#NUM!</v>
      </c>
      <c r="ED8" t="e">
        <f t="shared" si="76"/>
        <v>#NUM!</v>
      </c>
      <c r="EE8" t="e">
        <f t="shared" si="77"/>
        <v>#NUM!</v>
      </c>
      <c r="EF8" t="e">
        <f t="shared" si="78"/>
        <v>#NUM!</v>
      </c>
      <c r="EG8" t="e">
        <f t="shared" si="79"/>
        <v>#NUM!</v>
      </c>
      <c r="EH8" t="e">
        <f t="shared" si="80"/>
        <v>#NUM!</v>
      </c>
      <c r="EI8" t="e">
        <f t="shared" si="81"/>
        <v>#NUM!</v>
      </c>
      <c r="EJ8" t="e">
        <f t="shared" si="82"/>
        <v>#NUM!</v>
      </c>
      <c r="EK8" t="e">
        <f t="shared" si="83"/>
        <v>#NUM!</v>
      </c>
      <c r="EL8" t="e">
        <f t="shared" si="84"/>
        <v>#NUM!</v>
      </c>
      <c r="EM8" t="e">
        <f t="shared" si="85"/>
        <v>#NUM!</v>
      </c>
      <c r="EN8" t="e">
        <f t="shared" si="86"/>
        <v>#NUM!</v>
      </c>
      <c r="EO8" t="e">
        <f t="shared" si="87"/>
        <v>#NUM!</v>
      </c>
      <c r="EP8" t="e">
        <f t="shared" si="88"/>
        <v>#NUM!</v>
      </c>
      <c r="EQ8" t="e">
        <f t="shared" si="89"/>
        <v>#NUM!</v>
      </c>
      <c r="ER8" t="e">
        <f t="shared" si="90"/>
        <v>#NUM!</v>
      </c>
      <c r="ES8" t="e">
        <f t="shared" si="91"/>
        <v>#NUM!</v>
      </c>
      <c r="ET8" t="e">
        <f t="shared" si="92"/>
        <v>#NUM!</v>
      </c>
      <c r="EU8" t="e">
        <f t="shared" si="93"/>
        <v>#NUM!</v>
      </c>
      <c r="EV8" t="e">
        <f t="shared" si="94"/>
        <v>#NUM!</v>
      </c>
      <c r="EW8" t="e">
        <f t="shared" si="95"/>
        <v>#NUM!</v>
      </c>
      <c r="EX8" t="e">
        <f t="shared" si="96"/>
        <v>#NUM!</v>
      </c>
      <c r="EY8" t="e">
        <f t="shared" si="97"/>
        <v>#NUM!</v>
      </c>
    </row>
    <row r="9" spans="1:155" x14ac:dyDescent="0.25">
      <c r="A9" s="16">
        <f t="shared" si="98"/>
        <v>263</v>
      </c>
      <c r="B9" t="s">
        <v>20</v>
      </c>
      <c r="C9" s="13">
        <v>1060.3499999999999</v>
      </c>
      <c r="D9" s="13">
        <v>1063.5999999999999</v>
      </c>
      <c r="E9" s="13">
        <v>156.18333333333334</v>
      </c>
      <c r="F9" s="13">
        <v>166.01666666666668</v>
      </c>
      <c r="G9" s="13">
        <v>133.23333333333332</v>
      </c>
      <c r="H9" s="13">
        <v>136.91666666666666</v>
      </c>
      <c r="I9" s="13">
        <v>135.66666666666666</v>
      </c>
      <c r="J9" s="13">
        <v>183.23333333333332</v>
      </c>
      <c r="K9" s="13">
        <v>239.5</v>
      </c>
      <c r="L9" s="13">
        <v>272.81666666666666</v>
      </c>
      <c r="M9" s="13">
        <v>260.63333333333333</v>
      </c>
      <c r="N9" s="13">
        <v>449.36666666666667</v>
      </c>
      <c r="O9" s="13">
        <v>1092.05</v>
      </c>
      <c r="P9" s="13">
        <v>1595.85</v>
      </c>
      <c r="Q9" s="13">
        <v>885</v>
      </c>
      <c r="R9" s="13">
        <v>939.76666666666665</v>
      </c>
      <c r="S9" s="13">
        <v>840.2</v>
      </c>
      <c r="T9" s="13">
        <v>896.56666666666672</v>
      </c>
      <c r="U9" s="13">
        <v>999.5333333333333</v>
      </c>
      <c r="V9" s="13">
        <v>2368.7166666666667</v>
      </c>
      <c r="W9" s="13">
        <v>1086.3499999999999</v>
      </c>
      <c r="X9" s="13">
        <v>1736.4</v>
      </c>
      <c r="Y9" s="13">
        <v>466.98333333333335</v>
      </c>
      <c r="Z9" s="13">
        <v>466.98333333333335</v>
      </c>
      <c r="AA9" s="13">
        <v>573.5333333333333</v>
      </c>
      <c r="AB9" s="13">
        <v>1053.8833333333334</v>
      </c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B9" s="15">
        <v>0</v>
      </c>
      <c r="BC9" s="15">
        <v>0</v>
      </c>
      <c r="BD9" s="15">
        <f t="shared" ref="BD9:CY9" si="105">IF(E9&lt;&gt;"",IF(E9=DD$3,25,IF(E9=DD$4,24,IF(E9=DD$5,23,IF(E9=DD$6,22,IF(E9=DD$6,22,IF(E9=DD$7,21,IF(E9=DD$8,20,IF(E9=DD$9,19,IF(E9=DD$10,18,IF(E9=DD$11,17,0)))))))))),0)+BC9</f>
        <v>21</v>
      </c>
      <c r="BE9" s="15">
        <f t="shared" si="105"/>
        <v>42</v>
      </c>
      <c r="BF9" s="15">
        <f t="shared" si="105"/>
        <v>60</v>
      </c>
      <c r="BG9" s="15">
        <f t="shared" si="105"/>
        <v>80</v>
      </c>
      <c r="BH9" s="15">
        <f t="shared" si="105"/>
        <v>101</v>
      </c>
      <c r="BI9" s="15">
        <f t="shared" si="105"/>
        <v>123</v>
      </c>
      <c r="BJ9" s="15">
        <f t="shared" si="105"/>
        <v>142</v>
      </c>
      <c r="BK9" s="15">
        <f t="shared" si="105"/>
        <v>161</v>
      </c>
      <c r="BL9" s="15">
        <f t="shared" si="105"/>
        <v>178</v>
      </c>
      <c r="BM9" s="15">
        <f t="shared" si="105"/>
        <v>178</v>
      </c>
      <c r="BN9" s="15">
        <f t="shared" si="105"/>
        <v>178</v>
      </c>
      <c r="BO9" s="15">
        <f t="shared" si="105"/>
        <v>178</v>
      </c>
      <c r="BP9" s="15">
        <f t="shared" si="105"/>
        <v>178</v>
      </c>
      <c r="BQ9" s="15">
        <f t="shared" si="105"/>
        <v>178</v>
      </c>
      <c r="BR9" s="15">
        <f t="shared" si="105"/>
        <v>195</v>
      </c>
      <c r="BS9" s="15">
        <f t="shared" si="105"/>
        <v>195</v>
      </c>
      <c r="BT9" s="15">
        <f t="shared" si="105"/>
        <v>195</v>
      </c>
      <c r="BU9" s="15">
        <f t="shared" si="105"/>
        <v>195</v>
      </c>
      <c r="BV9" s="15">
        <f t="shared" si="105"/>
        <v>195</v>
      </c>
      <c r="BW9" s="15">
        <f t="shared" si="105"/>
        <v>195</v>
      </c>
      <c r="BX9" s="15">
        <f t="shared" si="105"/>
        <v>212</v>
      </c>
      <c r="BY9" s="15">
        <f t="shared" si="105"/>
        <v>229</v>
      </c>
      <c r="BZ9" s="15">
        <f t="shared" si="105"/>
        <v>246</v>
      </c>
      <c r="CA9" s="15">
        <f t="shared" si="105"/>
        <v>263</v>
      </c>
      <c r="CB9" s="15">
        <f t="shared" si="105"/>
        <v>263</v>
      </c>
      <c r="CC9" s="15">
        <f t="shared" si="105"/>
        <v>263</v>
      </c>
      <c r="CD9" s="15">
        <f t="shared" si="105"/>
        <v>263</v>
      </c>
      <c r="CE9" s="15">
        <f t="shared" si="105"/>
        <v>263</v>
      </c>
      <c r="CF9" s="15">
        <f t="shared" si="105"/>
        <v>263</v>
      </c>
      <c r="CG9" s="15">
        <f t="shared" si="105"/>
        <v>263</v>
      </c>
      <c r="CH9" s="15">
        <f t="shared" si="105"/>
        <v>263</v>
      </c>
      <c r="CI9" s="15">
        <f t="shared" si="105"/>
        <v>263</v>
      </c>
      <c r="CJ9" s="15">
        <f t="shared" si="105"/>
        <v>263</v>
      </c>
      <c r="CK9" s="15">
        <f t="shared" si="105"/>
        <v>263</v>
      </c>
      <c r="CL9" s="15">
        <f t="shared" si="105"/>
        <v>263</v>
      </c>
      <c r="CM9" s="15">
        <f t="shared" si="105"/>
        <v>263</v>
      </c>
      <c r="CN9" s="15">
        <f t="shared" si="105"/>
        <v>263</v>
      </c>
      <c r="CO9" s="15">
        <f t="shared" si="105"/>
        <v>263</v>
      </c>
      <c r="CP9" s="15">
        <f t="shared" si="105"/>
        <v>263</v>
      </c>
      <c r="CQ9" s="15">
        <f t="shared" si="105"/>
        <v>263</v>
      </c>
      <c r="CR9" s="15">
        <f t="shared" si="105"/>
        <v>263</v>
      </c>
      <c r="CS9" s="15">
        <f t="shared" si="105"/>
        <v>263</v>
      </c>
      <c r="CT9" s="15">
        <f t="shared" si="105"/>
        <v>263</v>
      </c>
      <c r="CU9" s="15">
        <f t="shared" si="105"/>
        <v>263</v>
      </c>
      <c r="CV9" s="15">
        <f t="shared" si="105"/>
        <v>263</v>
      </c>
      <c r="CW9" s="15">
        <f t="shared" si="105"/>
        <v>263</v>
      </c>
      <c r="CX9" s="15">
        <f t="shared" si="105"/>
        <v>263</v>
      </c>
      <c r="CY9" s="15">
        <f t="shared" si="105"/>
        <v>263</v>
      </c>
      <c r="DA9">
        <v>7</v>
      </c>
      <c r="DB9">
        <f t="shared" si="100"/>
        <v>259.63333333333333</v>
      </c>
      <c r="DC9">
        <f t="shared" si="49"/>
        <v>259.63333333333333</v>
      </c>
      <c r="DD9">
        <f t="shared" si="50"/>
        <v>240.58333333333334</v>
      </c>
      <c r="DE9">
        <f t="shared" si="51"/>
        <v>252.36666666666667</v>
      </c>
      <c r="DF9">
        <f t="shared" si="52"/>
        <v>121.81666666666666</v>
      </c>
      <c r="DG9">
        <f t="shared" si="53"/>
        <v>143.56666666666666</v>
      </c>
      <c r="DH9">
        <f t="shared" si="54"/>
        <v>148.19999999999999</v>
      </c>
      <c r="DI9">
        <f t="shared" si="55"/>
        <v>216.35</v>
      </c>
      <c r="DJ9">
        <f t="shared" si="56"/>
        <v>239.5</v>
      </c>
      <c r="DK9">
        <f t="shared" si="57"/>
        <v>272.81666666666666</v>
      </c>
      <c r="DL9">
        <f t="shared" si="58"/>
        <v>241.63333333333333</v>
      </c>
      <c r="DM9">
        <f t="shared" si="59"/>
        <v>303.71666666666664</v>
      </c>
      <c r="DN9">
        <f t="shared" si="60"/>
        <v>810.36666666666667</v>
      </c>
      <c r="DO9">
        <f t="shared" si="61"/>
        <v>858.38333333333333</v>
      </c>
      <c r="DP9">
        <f t="shared" si="62"/>
        <v>157.65</v>
      </c>
      <c r="DQ9">
        <f t="shared" si="63"/>
        <v>165.9</v>
      </c>
      <c r="DR9">
        <f t="shared" si="64"/>
        <v>767.43333333333328</v>
      </c>
      <c r="DS9">
        <f t="shared" si="65"/>
        <v>783.83333333333337</v>
      </c>
      <c r="DT9">
        <f t="shared" si="66"/>
        <v>173.96666666666667</v>
      </c>
      <c r="DU9">
        <f t="shared" si="67"/>
        <v>787.18333333333328</v>
      </c>
      <c r="DV9">
        <f t="shared" si="68"/>
        <v>546.43333333333328</v>
      </c>
      <c r="DW9">
        <f t="shared" si="69"/>
        <v>745.43333333333328</v>
      </c>
      <c r="DX9">
        <f t="shared" si="70"/>
        <v>326.08333333333331</v>
      </c>
      <c r="DY9">
        <f t="shared" si="71"/>
        <v>361.11666666666667</v>
      </c>
      <c r="DZ9">
        <f t="shared" si="72"/>
        <v>247.61666666666667</v>
      </c>
      <c r="EA9">
        <f t="shared" si="73"/>
        <v>738.38333333333333</v>
      </c>
      <c r="EB9" t="e">
        <f t="shared" si="74"/>
        <v>#NUM!</v>
      </c>
      <c r="EC9" t="e">
        <f t="shared" si="75"/>
        <v>#NUM!</v>
      </c>
      <c r="ED9" t="e">
        <f t="shared" si="76"/>
        <v>#NUM!</v>
      </c>
      <c r="EE9" t="e">
        <f t="shared" si="77"/>
        <v>#NUM!</v>
      </c>
      <c r="EF9" t="e">
        <f t="shared" si="78"/>
        <v>#NUM!</v>
      </c>
      <c r="EG9" t="e">
        <f t="shared" si="79"/>
        <v>#NUM!</v>
      </c>
      <c r="EH9" t="e">
        <f t="shared" si="80"/>
        <v>#NUM!</v>
      </c>
      <c r="EI9" t="e">
        <f t="shared" si="81"/>
        <v>#NUM!</v>
      </c>
      <c r="EJ9" t="e">
        <f t="shared" si="82"/>
        <v>#NUM!</v>
      </c>
      <c r="EK9" t="e">
        <f t="shared" si="83"/>
        <v>#NUM!</v>
      </c>
      <c r="EL9" t="e">
        <f t="shared" si="84"/>
        <v>#NUM!</v>
      </c>
      <c r="EM9" t="e">
        <f t="shared" si="85"/>
        <v>#NUM!</v>
      </c>
      <c r="EN9" t="e">
        <f t="shared" si="86"/>
        <v>#NUM!</v>
      </c>
      <c r="EO9" t="e">
        <f t="shared" si="87"/>
        <v>#NUM!</v>
      </c>
      <c r="EP9" t="e">
        <f t="shared" si="88"/>
        <v>#NUM!</v>
      </c>
      <c r="EQ9" t="e">
        <f t="shared" si="89"/>
        <v>#NUM!</v>
      </c>
      <c r="ER9" t="e">
        <f t="shared" si="90"/>
        <v>#NUM!</v>
      </c>
      <c r="ES9" t="e">
        <f t="shared" si="91"/>
        <v>#NUM!</v>
      </c>
      <c r="ET9" t="e">
        <f t="shared" si="92"/>
        <v>#NUM!</v>
      </c>
      <c r="EU9" t="e">
        <f t="shared" si="93"/>
        <v>#NUM!</v>
      </c>
      <c r="EV9" t="e">
        <f t="shared" si="94"/>
        <v>#NUM!</v>
      </c>
      <c r="EW9" t="e">
        <f t="shared" si="95"/>
        <v>#NUM!</v>
      </c>
      <c r="EX9" t="e">
        <f t="shared" si="96"/>
        <v>#NUM!</v>
      </c>
      <c r="EY9" t="e">
        <f t="shared" si="97"/>
        <v>#NUM!</v>
      </c>
    </row>
    <row r="10" spans="1:155" x14ac:dyDescent="0.25">
      <c r="A10" s="16">
        <f t="shared" si="98"/>
        <v>0</v>
      </c>
      <c r="B10" t="s">
        <v>21</v>
      </c>
      <c r="C10" s="13">
        <v>3431.65</v>
      </c>
      <c r="D10" s="13">
        <v>4521.1499999999996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B10" s="15">
        <v>0</v>
      </c>
      <c r="BC10" s="15">
        <v>0</v>
      </c>
      <c r="BD10" s="15">
        <f t="shared" ref="BD10:CY10" si="106">IF(E10&lt;&gt;"",IF(E10=DD$3,25,IF(E10=DD$4,24,IF(E10=DD$5,23,IF(E10=DD$6,22,IF(E10=DD$6,22,IF(E10=DD$7,21,IF(E10=DD$8,20,IF(E10=DD$9,19,IF(E10=DD$10,18,IF(E10=DD$11,17,0)))))))))),0)+BC10</f>
        <v>0</v>
      </c>
      <c r="BE10" s="15">
        <f t="shared" si="106"/>
        <v>0</v>
      </c>
      <c r="BF10" s="15">
        <f t="shared" si="106"/>
        <v>0</v>
      </c>
      <c r="BG10" s="15">
        <f t="shared" si="106"/>
        <v>0</v>
      </c>
      <c r="BH10" s="15">
        <f t="shared" si="106"/>
        <v>0</v>
      </c>
      <c r="BI10" s="15">
        <f t="shared" si="106"/>
        <v>0</v>
      </c>
      <c r="BJ10" s="15">
        <f t="shared" si="106"/>
        <v>0</v>
      </c>
      <c r="BK10" s="15">
        <f t="shared" si="106"/>
        <v>0</v>
      </c>
      <c r="BL10" s="15">
        <f t="shared" si="106"/>
        <v>0</v>
      </c>
      <c r="BM10" s="15">
        <f t="shared" si="106"/>
        <v>0</v>
      </c>
      <c r="BN10" s="15">
        <f t="shared" si="106"/>
        <v>0</v>
      </c>
      <c r="BO10" s="15">
        <f t="shared" si="106"/>
        <v>0</v>
      </c>
      <c r="BP10" s="15">
        <f t="shared" si="106"/>
        <v>0</v>
      </c>
      <c r="BQ10" s="15">
        <f t="shared" si="106"/>
        <v>0</v>
      </c>
      <c r="BR10" s="15">
        <f t="shared" si="106"/>
        <v>0</v>
      </c>
      <c r="BS10" s="15">
        <f t="shared" si="106"/>
        <v>0</v>
      </c>
      <c r="BT10" s="15">
        <f t="shared" si="106"/>
        <v>0</v>
      </c>
      <c r="BU10" s="15">
        <f t="shared" si="106"/>
        <v>0</v>
      </c>
      <c r="BV10" s="15">
        <f t="shared" si="106"/>
        <v>0</v>
      </c>
      <c r="BW10" s="15">
        <f t="shared" si="106"/>
        <v>0</v>
      </c>
      <c r="BX10" s="15">
        <f t="shared" si="106"/>
        <v>0</v>
      </c>
      <c r="BY10" s="15">
        <f t="shared" si="106"/>
        <v>0</v>
      </c>
      <c r="BZ10" s="15">
        <f t="shared" si="106"/>
        <v>0</v>
      </c>
      <c r="CA10" s="15">
        <f t="shared" si="106"/>
        <v>0</v>
      </c>
      <c r="CB10" s="15">
        <f t="shared" si="106"/>
        <v>0</v>
      </c>
      <c r="CC10" s="15">
        <f t="shared" si="106"/>
        <v>0</v>
      </c>
      <c r="CD10" s="15">
        <f t="shared" si="106"/>
        <v>0</v>
      </c>
      <c r="CE10" s="15">
        <f t="shared" si="106"/>
        <v>0</v>
      </c>
      <c r="CF10" s="15">
        <f t="shared" si="106"/>
        <v>0</v>
      </c>
      <c r="CG10" s="15">
        <f t="shared" si="106"/>
        <v>0</v>
      </c>
      <c r="CH10" s="15">
        <f t="shared" si="106"/>
        <v>0</v>
      </c>
      <c r="CI10" s="15">
        <f t="shared" si="106"/>
        <v>0</v>
      </c>
      <c r="CJ10" s="15">
        <f t="shared" si="106"/>
        <v>0</v>
      </c>
      <c r="CK10" s="15">
        <f t="shared" si="106"/>
        <v>0</v>
      </c>
      <c r="CL10" s="15">
        <f t="shared" si="106"/>
        <v>0</v>
      </c>
      <c r="CM10" s="15">
        <f t="shared" si="106"/>
        <v>0</v>
      </c>
      <c r="CN10" s="15">
        <f t="shared" si="106"/>
        <v>0</v>
      </c>
      <c r="CO10" s="15">
        <f t="shared" si="106"/>
        <v>0</v>
      </c>
      <c r="CP10" s="15">
        <f t="shared" si="106"/>
        <v>0</v>
      </c>
      <c r="CQ10" s="15">
        <f t="shared" si="106"/>
        <v>0</v>
      </c>
      <c r="CR10" s="15">
        <f t="shared" si="106"/>
        <v>0</v>
      </c>
      <c r="CS10" s="15">
        <f t="shared" si="106"/>
        <v>0</v>
      </c>
      <c r="CT10" s="15">
        <f t="shared" si="106"/>
        <v>0</v>
      </c>
      <c r="CU10" s="15">
        <f t="shared" si="106"/>
        <v>0</v>
      </c>
      <c r="CV10" s="15">
        <f t="shared" si="106"/>
        <v>0</v>
      </c>
      <c r="CW10" s="15">
        <f t="shared" si="106"/>
        <v>0</v>
      </c>
      <c r="CX10" s="15">
        <f t="shared" si="106"/>
        <v>0</v>
      </c>
      <c r="CY10" s="15">
        <f t="shared" si="106"/>
        <v>0</v>
      </c>
      <c r="DA10">
        <v>8</v>
      </c>
      <c r="DB10">
        <f t="shared" si="100"/>
        <v>558.7166666666667</v>
      </c>
      <c r="DC10">
        <f t="shared" si="49"/>
        <v>558.7166666666667</v>
      </c>
      <c r="DD10">
        <f t="shared" si="50"/>
        <v>353.38333333333333</v>
      </c>
      <c r="DE10">
        <f t="shared" si="51"/>
        <v>353.38333333333333</v>
      </c>
      <c r="DF10">
        <f t="shared" si="52"/>
        <v>133.23333333333332</v>
      </c>
      <c r="DG10">
        <f t="shared" si="53"/>
        <v>145.18333333333334</v>
      </c>
      <c r="DH10">
        <f t="shared" si="54"/>
        <v>160.69999999999999</v>
      </c>
      <c r="DI10">
        <f t="shared" si="55"/>
        <v>606.29999999999995</v>
      </c>
      <c r="DJ10">
        <f t="shared" si="56"/>
        <v>295.96666666666664</v>
      </c>
      <c r="DK10">
        <f t="shared" si="57"/>
        <v>314.46666666666664</v>
      </c>
      <c r="DL10">
        <f t="shared" si="58"/>
        <v>251.25</v>
      </c>
      <c r="DM10">
        <f t="shared" si="59"/>
        <v>379.98333333333335</v>
      </c>
      <c r="DN10">
        <f t="shared" si="60"/>
        <v>975.4</v>
      </c>
      <c r="DO10">
        <f t="shared" si="61"/>
        <v>998.95</v>
      </c>
      <c r="DP10">
        <f t="shared" si="62"/>
        <v>262.86666666666667</v>
      </c>
      <c r="DQ10">
        <f t="shared" si="63"/>
        <v>263.76666666666665</v>
      </c>
      <c r="DR10">
        <f t="shared" si="64"/>
        <v>820.16666666666663</v>
      </c>
      <c r="DS10">
        <f t="shared" si="65"/>
        <v>885.16666666666663</v>
      </c>
      <c r="DT10">
        <f t="shared" si="66"/>
        <v>409.13333333333333</v>
      </c>
      <c r="DU10">
        <f t="shared" si="67"/>
        <v>956.26666666666665</v>
      </c>
      <c r="DV10">
        <f t="shared" si="68"/>
        <v>745.43333333333328</v>
      </c>
      <c r="DW10">
        <f t="shared" si="69"/>
        <v>961.93333333333328</v>
      </c>
      <c r="DX10">
        <f t="shared" si="70"/>
        <v>361.11666666666667</v>
      </c>
      <c r="DY10">
        <f t="shared" si="71"/>
        <v>363.08333333333331</v>
      </c>
      <c r="DZ10">
        <f t="shared" si="72"/>
        <v>253.36666666666667</v>
      </c>
      <c r="EA10">
        <f t="shared" si="73"/>
        <v>933.33333333333337</v>
      </c>
      <c r="EB10" t="e">
        <f t="shared" si="74"/>
        <v>#NUM!</v>
      </c>
      <c r="EC10" t="e">
        <f t="shared" si="75"/>
        <v>#NUM!</v>
      </c>
      <c r="ED10" t="e">
        <f t="shared" si="76"/>
        <v>#NUM!</v>
      </c>
      <c r="EE10" t="e">
        <f t="shared" si="77"/>
        <v>#NUM!</v>
      </c>
      <c r="EF10" t="e">
        <f t="shared" si="78"/>
        <v>#NUM!</v>
      </c>
      <c r="EG10" t="e">
        <f t="shared" si="79"/>
        <v>#NUM!</v>
      </c>
      <c r="EH10" t="e">
        <f t="shared" si="80"/>
        <v>#NUM!</v>
      </c>
      <c r="EI10" t="e">
        <f t="shared" si="81"/>
        <v>#NUM!</v>
      </c>
      <c r="EJ10" t="e">
        <f t="shared" si="82"/>
        <v>#NUM!</v>
      </c>
      <c r="EK10" t="e">
        <f t="shared" si="83"/>
        <v>#NUM!</v>
      </c>
      <c r="EL10" t="e">
        <f t="shared" si="84"/>
        <v>#NUM!</v>
      </c>
      <c r="EM10" t="e">
        <f t="shared" si="85"/>
        <v>#NUM!</v>
      </c>
      <c r="EN10" t="e">
        <f t="shared" si="86"/>
        <v>#NUM!</v>
      </c>
      <c r="EO10" t="e">
        <f t="shared" si="87"/>
        <v>#NUM!</v>
      </c>
      <c r="EP10" t="e">
        <f t="shared" si="88"/>
        <v>#NUM!</v>
      </c>
      <c r="EQ10" t="e">
        <f t="shared" si="89"/>
        <v>#NUM!</v>
      </c>
      <c r="ER10" t="e">
        <f t="shared" si="90"/>
        <v>#NUM!</v>
      </c>
      <c r="ES10" t="e">
        <f t="shared" si="91"/>
        <v>#NUM!</v>
      </c>
      <c r="ET10" t="e">
        <f t="shared" si="92"/>
        <v>#NUM!</v>
      </c>
      <c r="EU10" t="e">
        <f t="shared" si="93"/>
        <v>#NUM!</v>
      </c>
      <c r="EV10" t="e">
        <f t="shared" si="94"/>
        <v>#NUM!</v>
      </c>
      <c r="EW10" t="e">
        <f t="shared" si="95"/>
        <v>#NUM!</v>
      </c>
      <c r="EX10" t="e">
        <f t="shared" si="96"/>
        <v>#NUM!</v>
      </c>
      <c r="EY10" t="e">
        <f t="shared" si="97"/>
        <v>#NUM!</v>
      </c>
    </row>
    <row r="11" spans="1:155" x14ac:dyDescent="0.25">
      <c r="A11" s="16">
        <f t="shared" si="98"/>
        <v>0</v>
      </c>
      <c r="B11" t="s">
        <v>22</v>
      </c>
      <c r="C11" s="13">
        <v>9483.3666666666668</v>
      </c>
      <c r="D11" s="13">
        <v>9489.15</v>
      </c>
      <c r="E11" s="13">
        <v>8076.6833333333334</v>
      </c>
      <c r="F11" s="13">
        <v>8086.85</v>
      </c>
      <c r="G11" s="13">
        <v>6679.75</v>
      </c>
      <c r="H11" s="13">
        <v>6689.8166666666666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B11" s="15">
        <v>0</v>
      </c>
      <c r="BC11" s="15">
        <v>0</v>
      </c>
      <c r="BD11" s="15">
        <f t="shared" ref="BD11:CY11" si="107">IF(E11&lt;&gt;"",IF(E11=DD$3,25,IF(E11=DD$4,24,IF(E11=DD$5,23,IF(E11=DD$6,22,IF(E11=DD$6,22,IF(E11=DD$7,21,IF(E11=DD$8,20,IF(E11=DD$9,19,IF(E11=DD$10,18,IF(E11=DD$11,17,0)))))))))),0)+BC11</f>
        <v>0</v>
      </c>
      <c r="BE11" s="15">
        <f t="shared" si="107"/>
        <v>0</v>
      </c>
      <c r="BF11" s="15">
        <f t="shared" si="107"/>
        <v>0</v>
      </c>
      <c r="BG11" s="15">
        <f t="shared" si="107"/>
        <v>0</v>
      </c>
      <c r="BH11" s="15">
        <f t="shared" si="107"/>
        <v>0</v>
      </c>
      <c r="BI11" s="15">
        <f t="shared" si="107"/>
        <v>0</v>
      </c>
      <c r="BJ11" s="15">
        <f t="shared" si="107"/>
        <v>0</v>
      </c>
      <c r="BK11" s="15">
        <f t="shared" si="107"/>
        <v>0</v>
      </c>
      <c r="BL11" s="15">
        <f t="shared" si="107"/>
        <v>0</v>
      </c>
      <c r="BM11" s="15">
        <f t="shared" si="107"/>
        <v>0</v>
      </c>
      <c r="BN11" s="15">
        <f t="shared" si="107"/>
        <v>0</v>
      </c>
      <c r="BO11" s="15">
        <f t="shared" si="107"/>
        <v>0</v>
      </c>
      <c r="BP11" s="15">
        <f t="shared" si="107"/>
        <v>0</v>
      </c>
      <c r="BQ11" s="15">
        <f t="shared" si="107"/>
        <v>0</v>
      </c>
      <c r="BR11" s="15">
        <f t="shared" si="107"/>
        <v>0</v>
      </c>
      <c r="BS11" s="15">
        <f t="shared" si="107"/>
        <v>0</v>
      </c>
      <c r="BT11" s="15">
        <f t="shared" si="107"/>
        <v>0</v>
      </c>
      <c r="BU11" s="15">
        <f t="shared" si="107"/>
        <v>0</v>
      </c>
      <c r="BV11" s="15">
        <f t="shared" si="107"/>
        <v>0</v>
      </c>
      <c r="BW11" s="15">
        <f t="shared" si="107"/>
        <v>0</v>
      </c>
      <c r="BX11" s="15">
        <f t="shared" si="107"/>
        <v>0</v>
      </c>
      <c r="BY11" s="15">
        <f t="shared" si="107"/>
        <v>0</v>
      </c>
      <c r="BZ11" s="15">
        <f t="shared" si="107"/>
        <v>0</v>
      </c>
      <c r="CA11" s="15">
        <f t="shared" si="107"/>
        <v>0</v>
      </c>
      <c r="CB11" s="15">
        <f t="shared" si="107"/>
        <v>0</v>
      </c>
      <c r="CC11" s="15">
        <f t="shared" si="107"/>
        <v>0</v>
      </c>
      <c r="CD11" s="15">
        <f t="shared" si="107"/>
        <v>0</v>
      </c>
      <c r="CE11" s="15">
        <f t="shared" si="107"/>
        <v>0</v>
      </c>
      <c r="CF11" s="15">
        <f t="shared" si="107"/>
        <v>0</v>
      </c>
      <c r="CG11" s="15">
        <f t="shared" si="107"/>
        <v>0</v>
      </c>
      <c r="CH11" s="15">
        <f t="shared" si="107"/>
        <v>0</v>
      </c>
      <c r="CI11" s="15">
        <f t="shared" si="107"/>
        <v>0</v>
      </c>
      <c r="CJ11" s="15">
        <f t="shared" si="107"/>
        <v>0</v>
      </c>
      <c r="CK11" s="15">
        <f t="shared" si="107"/>
        <v>0</v>
      </c>
      <c r="CL11" s="15">
        <f t="shared" si="107"/>
        <v>0</v>
      </c>
      <c r="CM11" s="15">
        <f t="shared" si="107"/>
        <v>0</v>
      </c>
      <c r="CN11" s="15">
        <f t="shared" si="107"/>
        <v>0</v>
      </c>
      <c r="CO11" s="15">
        <f t="shared" si="107"/>
        <v>0</v>
      </c>
      <c r="CP11" s="15">
        <f t="shared" si="107"/>
        <v>0</v>
      </c>
      <c r="CQ11" s="15">
        <f t="shared" si="107"/>
        <v>0</v>
      </c>
      <c r="CR11" s="15">
        <f t="shared" si="107"/>
        <v>0</v>
      </c>
      <c r="CS11" s="15">
        <f t="shared" si="107"/>
        <v>0</v>
      </c>
      <c r="CT11" s="15">
        <f t="shared" si="107"/>
        <v>0</v>
      </c>
      <c r="CU11" s="15">
        <f t="shared" si="107"/>
        <v>0</v>
      </c>
      <c r="CV11" s="15">
        <f t="shared" si="107"/>
        <v>0</v>
      </c>
      <c r="CW11" s="15">
        <f t="shared" si="107"/>
        <v>0</v>
      </c>
      <c r="CX11" s="15">
        <f t="shared" si="107"/>
        <v>0</v>
      </c>
      <c r="CY11" s="15">
        <f t="shared" si="107"/>
        <v>0</v>
      </c>
      <c r="DA11">
        <v>9</v>
      </c>
      <c r="DB11">
        <f t="shared" si="100"/>
        <v>721.55</v>
      </c>
      <c r="DC11">
        <f t="shared" si="49"/>
        <v>721.55</v>
      </c>
      <c r="DD11">
        <f t="shared" si="50"/>
        <v>374.83333333333331</v>
      </c>
      <c r="DE11">
        <f t="shared" si="51"/>
        <v>646.2833333333333</v>
      </c>
      <c r="DF11">
        <f t="shared" si="52"/>
        <v>169.53333333333333</v>
      </c>
      <c r="DG11">
        <f t="shared" si="53"/>
        <v>173.9</v>
      </c>
      <c r="DH11">
        <f t="shared" si="54"/>
        <v>341.98333333333335</v>
      </c>
      <c r="DI11">
        <f t="shared" si="55"/>
        <v>715.4</v>
      </c>
      <c r="DJ11">
        <f t="shared" si="56"/>
        <v>313.85000000000002</v>
      </c>
      <c r="DK11">
        <f t="shared" si="57"/>
        <v>345.53333333333336</v>
      </c>
      <c r="DL11">
        <f t="shared" si="58"/>
        <v>260.63333333333333</v>
      </c>
      <c r="DM11">
        <f t="shared" si="59"/>
        <v>425.05</v>
      </c>
      <c r="DN11">
        <f t="shared" si="60"/>
        <v>985.2833333333333</v>
      </c>
      <c r="DO11">
        <f t="shared" si="61"/>
        <v>1025.0833333333333</v>
      </c>
      <c r="DP11">
        <f t="shared" si="62"/>
        <v>579.2166666666667</v>
      </c>
      <c r="DQ11">
        <f t="shared" si="63"/>
        <v>806.2166666666667</v>
      </c>
      <c r="DR11">
        <f t="shared" si="64"/>
        <v>840.2</v>
      </c>
      <c r="DS11">
        <f t="shared" si="65"/>
        <v>888.93333333333328</v>
      </c>
      <c r="DT11">
        <f t="shared" si="66"/>
        <v>701.41666666666663</v>
      </c>
      <c r="DU11">
        <f t="shared" si="67"/>
        <v>1102.4833333333333</v>
      </c>
      <c r="DV11">
        <f t="shared" si="68"/>
        <v>958.7166666666667</v>
      </c>
      <c r="DW11">
        <f t="shared" si="69"/>
        <v>1672.7833333333333</v>
      </c>
      <c r="DX11">
        <f t="shared" si="70"/>
        <v>466.98333333333335</v>
      </c>
      <c r="DY11">
        <f t="shared" si="71"/>
        <v>466.98333333333335</v>
      </c>
      <c r="DZ11">
        <f t="shared" si="72"/>
        <v>573.5333333333333</v>
      </c>
      <c r="EA11">
        <f t="shared" si="73"/>
        <v>1053.8833333333334</v>
      </c>
      <c r="EB11" t="e">
        <f t="shared" si="74"/>
        <v>#NUM!</v>
      </c>
      <c r="EC11" t="e">
        <f t="shared" si="75"/>
        <v>#NUM!</v>
      </c>
      <c r="ED11" t="e">
        <f t="shared" si="76"/>
        <v>#NUM!</v>
      </c>
      <c r="EE11" t="e">
        <f t="shared" si="77"/>
        <v>#NUM!</v>
      </c>
      <c r="EF11" t="e">
        <f t="shared" si="78"/>
        <v>#NUM!</v>
      </c>
      <c r="EG11" t="e">
        <f t="shared" si="79"/>
        <v>#NUM!</v>
      </c>
      <c r="EH11" t="e">
        <f t="shared" si="80"/>
        <v>#NUM!</v>
      </c>
      <c r="EI11" t="e">
        <f t="shared" si="81"/>
        <v>#NUM!</v>
      </c>
      <c r="EJ11" t="e">
        <f t="shared" si="82"/>
        <v>#NUM!</v>
      </c>
      <c r="EK11" t="e">
        <f t="shared" si="83"/>
        <v>#NUM!</v>
      </c>
      <c r="EL11" t="e">
        <f t="shared" si="84"/>
        <v>#NUM!</v>
      </c>
      <c r="EM11" t="e">
        <f t="shared" si="85"/>
        <v>#NUM!</v>
      </c>
      <c r="EN11" t="e">
        <f t="shared" si="86"/>
        <v>#NUM!</v>
      </c>
      <c r="EO11" t="e">
        <f t="shared" si="87"/>
        <v>#NUM!</v>
      </c>
      <c r="EP11" t="e">
        <f t="shared" si="88"/>
        <v>#NUM!</v>
      </c>
      <c r="EQ11" t="e">
        <f t="shared" si="89"/>
        <v>#NUM!</v>
      </c>
      <c r="ER11" t="e">
        <f t="shared" si="90"/>
        <v>#NUM!</v>
      </c>
      <c r="ES11" t="e">
        <f t="shared" si="91"/>
        <v>#NUM!</v>
      </c>
      <c r="ET11" t="e">
        <f t="shared" si="92"/>
        <v>#NUM!</v>
      </c>
      <c r="EU11" t="e">
        <f t="shared" si="93"/>
        <v>#NUM!</v>
      </c>
      <c r="EV11" t="e">
        <f t="shared" si="94"/>
        <v>#NUM!</v>
      </c>
      <c r="EW11" t="e">
        <f t="shared" si="95"/>
        <v>#NUM!</v>
      </c>
      <c r="EX11" t="e">
        <f t="shared" si="96"/>
        <v>#NUM!</v>
      </c>
      <c r="EY11" t="e">
        <f t="shared" si="97"/>
        <v>#NUM!</v>
      </c>
    </row>
    <row r="12" spans="1:155" x14ac:dyDescent="0.25">
      <c r="A12" s="16">
        <f t="shared" si="98"/>
        <v>0</v>
      </c>
      <c r="B12" t="s">
        <v>23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B12" s="15">
        <v>0</v>
      </c>
      <c r="BC12" s="15">
        <v>0</v>
      </c>
      <c r="BD12" s="15">
        <f t="shared" ref="BD12:CY12" si="108">IF(E12&lt;&gt;"",IF(E12=DD$3,25,IF(E12=DD$4,24,IF(E12=DD$5,23,IF(E12=DD$6,22,IF(E12=DD$6,22,IF(E12=DD$7,21,IF(E12=DD$8,20,IF(E12=DD$9,19,IF(E12=DD$10,18,IF(E12=DD$11,17,0)))))))))),0)+BC12</f>
        <v>0</v>
      </c>
      <c r="BE12" s="15">
        <f t="shared" si="108"/>
        <v>0</v>
      </c>
      <c r="BF12" s="15">
        <f t="shared" si="108"/>
        <v>0</v>
      </c>
      <c r="BG12" s="15">
        <f t="shared" si="108"/>
        <v>0</v>
      </c>
      <c r="BH12" s="15">
        <f t="shared" si="108"/>
        <v>0</v>
      </c>
      <c r="BI12" s="15">
        <f t="shared" si="108"/>
        <v>0</v>
      </c>
      <c r="BJ12" s="15">
        <f t="shared" si="108"/>
        <v>0</v>
      </c>
      <c r="BK12" s="15">
        <f t="shared" si="108"/>
        <v>0</v>
      </c>
      <c r="BL12" s="15">
        <f t="shared" si="108"/>
        <v>0</v>
      </c>
      <c r="BM12" s="15">
        <f t="shared" si="108"/>
        <v>0</v>
      </c>
      <c r="BN12" s="15">
        <f t="shared" si="108"/>
        <v>0</v>
      </c>
      <c r="BO12" s="15">
        <f t="shared" si="108"/>
        <v>0</v>
      </c>
      <c r="BP12" s="15">
        <f t="shared" si="108"/>
        <v>0</v>
      </c>
      <c r="BQ12" s="15">
        <f t="shared" si="108"/>
        <v>0</v>
      </c>
      <c r="BR12" s="15">
        <f t="shared" si="108"/>
        <v>0</v>
      </c>
      <c r="BS12" s="15">
        <f t="shared" si="108"/>
        <v>0</v>
      </c>
      <c r="BT12" s="15">
        <f t="shared" si="108"/>
        <v>0</v>
      </c>
      <c r="BU12" s="15">
        <f t="shared" si="108"/>
        <v>0</v>
      </c>
      <c r="BV12" s="15">
        <f t="shared" si="108"/>
        <v>0</v>
      </c>
      <c r="BW12" s="15">
        <f t="shared" si="108"/>
        <v>0</v>
      </c>
      <c r="BX12" s="15">
        <f t="shared" si="108"/>
        <v>0</v>
      </c>
      <c r="BY12" s="15">
        <f t="shared" si="108"/>
        <v>0</v>
      </c>
      <c r="BZ12" s="15">
        <f t="shared" si="108"/>
        <v>0</v>
      </c>
      <c r="CA12" s="15">
        <f t="shared" si="108"/>
        <v>0</v>
      </c>
      <c r="CB12" s="15">
        <f t="shared" si="108"/>
        <v>0</v>
      </c>
      <c r="CC12" s="15">
        <f t="shared" si="108"/>
        <v>0</v>
      </c>
      <c r="CD12" s="15">
        <f t="shared" si="108"/>
        <v>0</v>
      </c>
      <c r="CE12" s="15">
        <f t="shared" si="108"/>
        <v>0</v>
      </c>
      <c r="CF12" s="15">
        <f t="shared" si="108"/>
        <v>0</v>
      </c>
      <c r="CG12" s="15">
        <f t="shared" si="108"/>
        <v>0</v>
      </c>
      <c r="CH12" s="15">
        <f t="shared" si="108"/>
        <v>0</v>
      </c>
      <c r="CI12" s="15">
        <f t="shared" si="108"/>
        <v>0</v>
      </c>
      <c r="CJ12" s="15">
        <f t="shared" si="108"/>
        <v>0</v>
      </c>
      <c r="CK12" s="15">
        <f t="shared" si="108"/>
        <v>0</v>
      </c>
      <c r="CL12" s="15">
        <f t="shared" si="108"/>
        <v>0</v>
      </c>
      <c r="CM12" s="15">
        <f t="shared" si="108"/>
        <v>0</v>
      </c>
      <c r="CN12" s="15">
        <f t="shared" si="108"/>
        <v>0</v>
      </c>
      <c r="CO12" s="15">
        <f t="shared" si="108"/>
        <v>0</v>
      </c>
      <c r="CP12" s="15">
        <f t="shared" si="108"/>
        <v>0</v>
      </c>
      <c r="CQ12" s="15">
        <f t="shared" si="108"/>
        <v>0</v>
      </c>
      <c r="CR12" s="15">
        <f t="shared" si="108"/>
        <v>0</v>
      </c>
      <c r="CS12" s="15">
        <f t="shared" si="108"/>
        <v>0</v>
      </c>
      <c r="CT12" s="15">
        <f t="shared" si="108"/>
        <v>0</v>
      </c>
      <c r="CU12" s="15">
        <f t="shared" si="108"/>
        <v>0</v>
      </c>
      <c r="CV12" s="15">
        <f t="shared" si="108"/>
        <v>0</v>
      </c>
      <c r="CW12" s="15">
        <f t="shared" si="108"/>
        <v>0</v>
      </c>
      <c r="CX12" s="15">
        <f t="shared" si="108"/>
        <v>0</v>
      </c>
      <c r="CY12" s="15">
        <f t="shared" si="108"/>
        <v>0</v>
      </c>
      <c r="DA12">
        <v>10</v>
      </c>
      <c r="DB12">
        <f t="shared" si="100"/>
        <v>906.68333333333328</v>
      </c>
      <c r="DC12">
        <f t="shared" si="49"/>
        <v>906.68333333333328</v>
      </c>
      <c r="DD12">
        <f t="shared" si="50"/>
        <v>744.3</v>
      </c>
      <c r="DE12">
        <f t="shared" si="51"/>
        <v>757.88333333333333</v>
      </c>
      <c r="DF12">
        <f t="shared" si="52"/>
        <v>243.23333333333332</v>
      </c>
      <c r="DG12">
        <f t="shared" si="53"/>
        <v>596.73333333333335</v>
      </c>
      <c r="DH12">
        <f t="shared" si="54"/>
        <v>370.88333333333333</v>
      </c>
      <c r="DI12">
        <f t="shared" si="55"/>
        <v>734.91666666666663</v>
      </c>
      <c r="DJ12">
        <f t="shared" si="56"/>
        <v>337.46666666666664</v>
      </c>
      <c r="DK12">
        <f t="shared" si="57"/>
        <v>350.8</v>
      </c>
      <c r="DL12">
        <f t="shared" si="58"/>
        <v>288.75</v>
      </c>
      <c r="DM12">
        <f t="shared" si="59"/>
        <v>446.43333333333334</v>
      </c>
      <c r="DN12">
        <f t="shared" si="60"/>
        <v>1004.7166666666667</v>
      </c>
      <c r="DO12">
        <f t="shared" si="61"/>
        <v>1595.85</v>
      </c>
      <c r="DP12">
        <f t="shared" si="62"/>
        <v>789.81666666666672</v>
      </c>
      <c r="DQ12">
        <f t="shared" si="63"/>
        <v>923.86666666666667</v>
      </c>
      <c r="DR12">
        <f t="shared" si="64"/>
        <v>845.9666666666667</v>
      </c>
      <c r="DS12">
        <f t="shared" si="65"/>
        <v>896.56666666666672</v>
      </c>
      <c r="DT12">
        <f t="shared" si="66"/>
        <v>794.6</v>
      </c>
      <c r="DU12">
        <f t="shared" si="67"/>
        <v>1180.3499999999999</v>
      </c>
      <c r="DV12">
        <f t="shared" si="68"/>
        <v>1086.3499999999999</v>
      </c>
      <c r="DW12">
        <f t="shared" si="69"/>
        <v>1736.4</v>
      </c>
      <c r="DX12">
        <f t="shared" si="70"/>
        <v>1097.0166666666667</v>
      </c>
      <c r="DY12">
        <f t="shared" si="71"/>
        <v>1168.95</v>
      </c>
      <c r="DZ12">
        <f t="shared" si="72"/>
        <v>944.06666666666672</v>
      </c>
      <c r="EA12" t="e">
        <f t="shared" si="73"/>
        <v>#NUM!</v>
      </c>
      <c r="EB12" t="e">
        <f t="shared" si="74"/>
        <v>#NUM!</v>
      </c>
      <c r="EC12" t="e">
        <f t="shared" si="75"/>
        <v>#NUM!</v>
      </c>
      <c r="ED12" t="e">
        <f t="shared" si="76"/>
        <v>#NUM!</v>
      </c>
      <c r="EE12" t="e">
        <f t="shared" si="77"/>
        <v>#NUM!</v>
      </c>
      <c r="EF12" t="e">
        <f t="shared" si="78"/>
        <v>#NUM!</v>
      </c>
      <c r="EG12" t="e">
        <f t="shared" si="79"/>
        <v>#NUM!</v>
      </c>
      <c r="EH12" t="e">
        <f t="shared" si="80"/>
        <v>#NUM!</v>
      </c>
      <c r="EI12" t="e">
        <f t="shared" si="81"/>
        <v>#NUM!</v>
      </c>
      <c r="EJ12" t="e">
        <f t="shared" si="82"/>
        <v>#NUM!</v>
      </c>
      <c r="EK12" t="e">
        <f t="shared" si="83"/>
        <v>#NUM!</v>
      </c>
      <c r="EL12" t="e">
        <f t="shared" si="84"/>
        <v>#NUM!</v>
      </c>
      <c r="EM12" t="e">
        <f t="shared" si="85"/>
        <v>#NUM!</v>
      </c>
      <c r="EN12" t="e">
        <f t="shared" si="86"/>
        <v>#NUM!</v>
      </c>
      <c r="EO12" t="e">
        <f t="shared" si="87"/>
        <v>#NUM!</v>
      </c>
      <c r="EP12" t="e">
        <f t="shared" si="88"/>
        <v>#NUM!</v>
      </c>
      <c r="EQ12" t="e">
        <f t="shared" si="89"/>
        <v>#NUM!</v>
      </c>
      <c r="ER12" t="e">
        <f t="shared" si="90"/>
        <v>#NUM!</v>
      </c>
      <c r="ES12" t="e">
        <f t="shared" si="91"/>
        <v>#NUM!</v>
      </c>
      <c r="ET12" t="e">
        <f t="shared" si="92"/>
        <v>#NUM!</v>
      </c>
      <c r="EU12" t="e">
        <f t="shared" si="93"/>
        <v>#NUM!</v>
      </c>
      <c r="EV12" t="e">
        <f t="shared" si="94"/>
        <v>#NUM!</v>
      </c>
      <c r="EW12" t="e">
        <f t="shared" si="95"/>
        <v>#NUM!</v>
      </c>
      <c r="EX12" t="e">
        <f t="shared" si="96"/>
        <v>#NUM!</v>
      </c>
      <c r="EY12" t="e">
        <f t="shared" si="97"/>
        <v>#NUM!</v>
      </c>
    </row>
    <row r="13" spans="1:155" x14ac:dyDescent="0.25">
      <c r="A13" s="16">
        <f t="shared" si="98"/>
        <v>0</v>
      </c>
      <c r="B13" t="s">
        <v>24</v>
      </c>
      <c r="C13" s="13">
        <v>2451.9</v>
      </c>
      <c r="D13" s="13">
        <v>2451.9</v>
      </c>
      <c r="E13" s="13">
        <v>1045.4833333333333</v>
      </c>
      <c r="F13" s="13">
        <v>2418.9499999999998</v>
      </c>
      <c r="G13" s="13">
        <v>1709.2333333333333</v>
      </c>
      <c r="H13" s="13">
        <v>2447.8333333333335</v>
      </c>
      <c r="I13" s="13">
        <v>1877.1166666666666</v>
      </c>
      <c r="J13" s="13">
        <v>2232.5500000000002</v>
      </c>
      <c r="K13" s="13">
        <v>851.83333333333337</v>
      </c>
      <c r="L13" s="13">
        <v>870.75</v>
      </c>
      <c r="M13" s="13">
        <v>494.08333333333331</v>
      </c>
      <c r="N13" s="13">
        <v>526.38333333333333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B13" s="15">
        <v>0</v>
      </c>
      <c r="BC13" s="15">
        <v>0</v>
      </c>
      <c r="BD13" s="15">
        <f t="shared" ref="BD13:CY13" si="109">IF(E13&lt;&gt;"",IF(E13=DD$3,25,IF(E13=DD$4,24,IF(E13=DD$5,23,IF(E13=DD$6,22,IF(E13=DD$6,22,IF(E13=DD$7,21,IF(E13=DD$8,20,IF(E13=DD$9,19,IF(E13=DD$10,18,IF(E13=DD$11,17,0)))))))))),0)+BC13</f>
        <v>0</v>
      </c>
      <c r="BE13" s="15">
        <f t="shared" si="109"/>
        <v>0</v>
      </c>
      <c r="BF13" s="15">
        <f t="shared" si="109"/>
        <v>0</v>
      </c>
      <c r="BG13" s="15">
        <f t="shared" si="109"/>
        <v>0</v>
      </c>
      <c r="BH13" s="15">
        <f t="shared" si="109"/>
        <v>0</v>
      </c>
      <c r="BI13" s="15">
        <f t="shared" si="109"/>
        <v>0</v>
      </c>
      <c r="BJ13" s="15">
        <f t="shared" si="109"/>
        <v>0</v>
      </c>
      <c r="BK13" s="15">
        <f t="shared" si="109"/>
        <v>0</v>
      </c>
      <c r="BL13" s="15">
        <f t="shared" si="109"/>
        <v>0</v>
      </c>
      <c r="BM13" s="15">
        <f t="shared" si="109"/>
        <v>0</v>
      </c>
      <c r="BN13" s="15">
        <f t="shared" si="109"/>
        <v>0</v>
      </c>
      <c r="BO13" s="15">
        <f t="shared" si="109"/>
        <v>0</v>
      </c>
      <c r="BP13" s="15">
        <f t="shared" si="109"/>
        <v>0</v>
      </c>
      <c r="BQ13" s="15">
        <f t="shared" si="109"/>
        <v>0</v>
      </c>
      <c r="BR13" s="15">
        <f t="shared" si="109"/>
        <v>0</v>
      </c>
      <c r="BS13" s="15">
        <f t="shared" si="109"/>
        <v>0</v>
      </c>
      <c r="BT13" s="15">
        <f t="shared" si="109"/>
        <v>0</v>
      </c>
      <c r="BU13" s="15">
        <f t="shared" si="109"/>
        <v>0</v>
      </c>
      <c r="BV13" s="15">
        <f t="shared" si="109"/>
        <v>0</v>
      </c>
      <c r="BW13" s="15">
        <f t="shared" si="109"/>
        <v>0</v>
      </c>
      <c r="BX13" s="15">
        <f t="shared" si="109"/>
        <v>0</v>
      </c>
      <c r="BY13" s="15">
        <f t="shared" si="109"/>
        <v>0</v>
      </c>
      <c r="BZ13" s="15">
        <f t="shared" si="109"/>
        <v>0</v>
      </c>
      <c r="CA13" s="15">
        <f t="shared" si="109"/>
        <v>0</v>
      </c>
      <c r="CB13" s="15">
        <f t="shared" si="109"/>
        <v>0</v>
      </c>
      <c r="CC13" s="15">
        <f t="shared" si="109"/>
        <v>0</v>
      </c>
      <c r="CD13" s="15">
        <f t="shared" si="109"/>
        <v>0</v>
      </c>
      <c r="CE13" s="15">
        <f t="shared" si="109"/>
        <v>0</v>
      </c>
      <c r="CF13" s="15">
        <f t="shared" si="109"/>
        <v>0</v>
      </c>
      <c r="CG13" s="15">
        <f t="shared" si="109"/>
        <v>0</v>
      </c>
      <c r="CH13" s="15">
        <f t="shared" si="109"/>
        <v>0</v>
      </c>
      <c r="CI13" s="15">
        <f t="shared" si="109"/>
        <v>0</v>
      </c>
      <c r="CJ13" s="15">
        <f t="shared" si="109"/>
        <v>0</v>
      </c>
      <c r="CK13" s="15">
        <f t="shared" si="109"/>
        <v>0</v>
      </c>
      <c r="CL13" s="15">
        <f t="shared" si="109"/>
        <v>0</v>
      </c>
      <c r="CM13" s="15">
        <f t="shared" si="109"/>
        <v>0</v>
      </c>
      <c r="CN13" s="15">
        <f t="shared" si="109"/>
        <v>0</v>
      </c>
      <c r="CO13" s="15">
        <f t="shared" si="109"/>
        <v>0</v>
      </c>
      <c r="CP13" s="15">
        <f t="shared" si="109"/>
        <v>0</v>
      </c>
      <c r="CQ13" s="15">
        <f t="shared" si="109"/>
        <v>0</v>
      </c>
      <c r="CR13" s="15">
        <f t="shared" si="109"/>
        <v>0</v>
      </c>
      <c r="CS13" s="15">
        <f t="shared" si="109"/>
        <v>0</v>
      </c>
      <c r="CT13" s="15">
        <f t="shared" si="109"/>
        <v>0</v>
      </c>
      <c r="CU13" s="15">
        <f t="shared" si="109"/>
        <v>0</v>
      </c>
      <c r="CV13" s="15">
        <f t="shared" si="109"/>
        <v>0</v>
      </c>
      <c r="CW13" s="15">
        <f t="shared" si="109"/>
        <v>0</v>
      </c>
      <c r="CX13" s="15">
        <f t="shared" si="109"/>
        <v>0</v>
      </c>
      <c r="CY13" s="15">
        <f t="shared" si="109"/>
        <v>0</v>
      </c>
      <c r="DA13">
        <v>11</v>
      </c>
      <c r="DB13">
        <f t="shared" si="100"/>
        <v>1019.8333333333334</v>
      </c>
      <c r="DC13">
        <f t="shared" si="49"/>
        <v>1019.8333333333334</v>
      </c>
      <c r="DD13">
        <f t="shared" si="50"/>
        <v>768.73333333333335</v>
      </c>
      <c r="DE13">
        <f t="shared" si="51"/>
        <v>780.25</v>
      </c>
      <c r="DF13">
        <f t="shared" si="52"/>
        <v>654.1</v>
      </c>
      <c r="DG13">
        <f t="shared" si="53"/>
        <v>661.23333333333335</v>
      </c>
      <c r="DH13">
        <f t="shared" si="54"/>
        <v>462.45</v>
      </c>
      <c r="DI13">
        <f t="shared" si="55"/>
        <v>831.6</v>
      </c>
      <c r="DJ13">
        <f t="shared" si="56"/>
        <v>463.23333333333335</v>
      </c>
      <c r="DK13">
        <f t="shared" si="57"/>
        <v>492.88333333333333</v>
      </c>
      <c r="DL13">
        <f t="shared" si="58"/>
        <v>365.48333333333335</v>
      </c>
      <c r="DM13">
        <f t="shared" si="59"/>
        <v>449.36666666666667</v>
      </c>
      <c r="DN13">
        <f t="shared" si="60"/>
        <v>1092.05</v>
      </c>
      <c r="DO13">
        <f t="shared" si="61"/>
        <v>2137.0833333333335</v>
      </c>
      <c r="DP13">
        <f t="shared" si="62"/>
        <v>885</v>
      </c>
      <c r="DQ13">
        <f t="shared" si="63"/>
        <v>939.76666666666665</v>
      </c>
      <c r="DR13">
        <f t="shared" si="64"/>
        <v>1023.8666666666667</v>
      </c>
      <c r="DS13">
        <f t="shared" si="65"/>
        <v>1607.4666666666667</v>
      </c>
      <c r="DT13">
        <f t="shared" si="66"/>
        <v>999.5333333333333</v>
      </c>
      <c r="DU13">
        <f t="shared" si="67"/>
        <v>1740.0333333333333</v>
      </c>
      <c r="DV13">
        <f t="shared" si="68"/>
        <v>2395.4833333333331</v>
      </c>
      <c r="DW13">
        <f t="shared" si="69"/>
        <v>2445.9333333333334</v>
      </c>
      <c r="DX13">
        <f t="shared" si="70"/>
        <v>1193.2166666666667</v>
      </c>
      <c r="DY13">
        <f t="shared" si="71"/>
        <v>2337.3000000000002</v>
      </c>
      <c r="DZ13">
        <f t="shared" si="72"/>
        <v>995.11666666666667</v>
      </c>
      <c r="EA13" t="e">
        <f t="shared" si="73"/>
        <v>#NUM!</v>
      </c>
      <c r="EB13" t="e">
        <f t="shared" si="74"/>
        <v>#NUM!</v>
      </c>
      <c r="EC13" t="e">
        <f t="shared" si="75"/>
        <v>#NUM!</v>
      </c>
      <c r="ED13" t="e">
        <f t="shared" si="76"/>
        <v>#NUM!</v>
      </c>
      <c r="EE13" t="e">
        <f t="shared" si="77"/>
        <v>#NUM!</v>
      </c>
      <c r="EF13" t="e">
        <f t="shared" si="78"/>
        <v>#NUM!</v>
      </c>
      <c r="EG13" t="e">
        <f t="shared" si="79"/>
        <v>#NUM!</v>
      </c>
      <c r="EH13" t="e">
        <f t="shared" si="80"/>
        <v>#NUM!</v>
      </c>
      <c r="EI13" t="e">
        <f t="shared" si="81"/>
        <v>#NUM!</v>
      </c>
      <c r="EJ13" t="e">
        <f t="shared" si="82"/>
        <v>#NUM!</v>
      </c>
      <c r="EK13" t="e">
        <f t="shared" si="83"/>
        <v>#NUM!</v>
      </c>
      <c r="EL13" t="e">
        <f t="shared" si="84"/>
        <v>#NUM!</v>
      </c>
      <c r="EM13" t="e">
        <f t="shared" si="85"/>
        <v>#NUM!</v>
      </c>
      <c r="EN13" t="e">
        <f t="shared" si="86"/>
        <v>#NUM!</v>
      </c>
      <c r="EO13" t="e">
        <f t="shared" si="87"/>
        <v>#NUM!</v>
      </c>
      <c r="EP13" t="e">
        <f t="shared" si="88"/>
        <v>#NUM!</v>
      </c>
      <c r="EQ13" t="e">
        <f t="shared" si="89"/>
        <v>#NUM!</v>
      </c>
      <c r="ER13" t="e">
        <f t="shared" si="90"/>
        <v>#NUM!</v>
      </c>
      <c r="ES13" t="e">
        <f t="shared" si="91"/>
        <v>#NUM!</v>
      </c>
      <c r="ET13" t="e">
        <f t="shared" si="92"/>
        <v>#NUM!</v>
      </c>
      <c r="EU13" t="e">
        <f t="shared" si="93"/>
        <v>#NUM!</v>
      </c>
      <c r="EV13" t="e">
        <f t="shared" si="94"/>
        <v>#NUM!</v>
      </c>
      <c r="EW13" t="e">
        <f t="shared" si="95"/>
        <v>#NUM!</v>
      </c>
      <c r="EX13" t="e">
        <f t="shared" si="96"/>
        <v>#NUM!</v>
      </c>
      <c r="EY13" t="e">
        <f t="shared" si="97"/>
        <v>#NUM!</v>
      </c>
    </row>
    <row r="14" spans="1:155" x14ac:dyDescent="0.25">
      <c r="A14" s="16">
        <f t="shared" si="98"/>
        <v>418</v>
      </c>
      <c r="B14" t="s">
        <v>25</v>
      </c>
      <c r="C14" s="13">
        <v>76.433333333333337</v>
      </c>
      <c r="D14" s="13">
        <v>76.433333333333337</v>
      </c>
      <c r="E14" s="13">
        <v>768.73333333333335</v>
      </c>
      <c r="F14" s="13">
        <v>780.25</v>
      </c>
      <c r="G14" s="13">
        <v>117.55</v>
      </c>
      <c r="H14" s="13">
        <v>143.56666666666666</v>
      </c>
      <c r="I14" s="13">
        <v>160.69999999999999</v>
      </c>
      <c r="J14" s="13">
        <v>715.4</v>
      </c>
      <c r="K14" s="13">
        <v>238.11666666666667</v>
      </c>
      <c r="L14" s="13">
        <v>258.53333333333336</v>
      </c>
      <c r="M14" s="13">
        <v>251.25</v>
      </c>
      <c r="N14" s="13">
        <v>303.71666666666664</v>
      </c>
      <c r="O14" s="13">
        <v>799.48333333333335</v>
      </c>
      <c r="P14" s="13">
        <v>858.38333333333333</v>
      </c>
      <c r="Q14" s="13">
        <v>139.44999999999999</v>
      </c>
      <c r="R14" s="13">
        <v>165.9</v>
      </c>
      <c r="S14" s="13">
        <v>820.16666666666663</v>
      </c>
      <c r="T14" s="13">
        <v>885.16666666666663</v>
      </c>
      <c r="U14" s="13">
        <v>173.96666666666667</v>
      </c>
      <c r="V14" s="13">
        <v>335.68333333333334</v>
      </c>
      <c r="W14" s="13">
        <v>546.43333333333328</v>
      </c>
      <c r="X14" s="13">
        <v>961.93333333333328</v>
      </c>
      <c r="Y14" s="13">
        <v>326.08333333333331</v>
      </c>
      <c r="Z14" s="13">
        <v>363.08333333333331</v>
      </c>
      <c r="AA14" s="13">
        <v>247.61666666666667</v>
      </c>
      <c r="AB14" s="13">
        <v>738.38333333333333</v>
      </c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B14" s="15">
        <v>0</v>
      </c>
      <c r="BC14" s="15">
        <v>0</v>
      </c>
      <c r="BD14" s="15">
        <f t="shared" ref="BD14:CY14" si="110">IF(E14&lt;&gt;"",IF(E14=DD$3,25,IF(E14=DD$4,24,IF(E14=DD$5,23,IF(E14=DD$6,22,IF(E14=DD$6,22,IF(E14=DD$7,21,IF(E14=DD$8,20,IF(E14=DD$9,19,IF(E14=DD$10,18,IF(E14=DD$11,17,0)))))))))),0)+BC14</f>
        <v>0</v>
      </c>
      <c r="BE14" s="15">
        <f t="shared" si="110"/>
        <v>0</v>
      </c>
      <c r="BF14" s="15">
        <f t="shared" si="110"/>
        <v>20</v>
      </c>
      <c r="BG14" s="15">
        <f t="shared" si="110"/>
        <v>39</v>
      </c>
      <c r="BH14" s="15">
        <f t="shared" si="110"/>
        <v>57</v>
      </c>
      <c r="BI14" s="15">
        <f t="shared" si="110"/>
        <v>74</v>
      </c>
      <c r="BJ14" s="15">
        <f t="shared" si="110"/>
        <v>94</v>
      </c>
      <c r="BK14" s="15">
        <f t="shared" si="110"/>
        <v>114</v>
      </c>
      <c r="BL14" s="15">
        <f t="shared" si="110"/>
        <v>132</v>
      </c>
      <c r="BM14" s="15">
        <f t="shared" si="110"/>
        <v>151</v>
      </c>
      <c r="BN14" s="15">
        <f t="shared" si="110"/>
        <v>171</v>
      </c>
      <c r="BO14" s="15">
        <f t="shared" si="110"/>
        <v>190</v>
      </c>
      <c r="BP14" s="15">
        <f t="shared" si="110"/>
        <v>210</v>
      </c>
      <c r="BQ14" s="15">
        <f t="shared" si="110"/>
        <v>229</v>
      </c>
      <c r="BR14" s="15">
        <f t="shared" si="110"/>
        <v>247</v>
      </c>
      <c r="BS14" s="15">
        <f t="shared" si="110"/>
        <v>265</v>
      </c>
      <c r="BT14" s="15">
        <f t="shared" si="110"/>
        <v>284</v>
      </c>
      <c r="BU14" s="15">
        <f t="shared" si="110"/>
        <v>306</v>
      </c>
      <c r="BV14" s="15">
        <f t="shared" si="110"/>
        <v>325</v>
      </c>
      <c r="BW14" s="15">
        <f t="shared" si="110"/>
        <v>343</v>
      </c>
      <c r="BX14" s="15">
        <f t="shared" si="110"/>
        <v>362</v>
      </c>
      <c r="BY14" s="15">
        <f t="shared" si="110"/>
        <v>380</v>
      </c>
      <c r="BZ14" s="15">
        <f t="shared" si="110"/>
        <v>399</v>
      </c>
      <c r="CA14" s="15">
        <f t="shared" si="110"/>
        <v>418</v>
      </c>
      <c r="CB14" s="15">
        <f t="shared" si="110"/>
        <v>418</v>
      </c>
      <c r="CC14" s="15">
        <f t="shared" si="110"/>
        <v>418</v>
      </c>
      <c r="CD14" s="15">
        <f t="shared" si="110"/>
        <v>418</v>
      </c>
      <c r="CE14" s="15">
        <f t="shared" si="110"/>
        <v>418</v>
      </c>
      <c r="CF14" s="15">
        <f t="shared" si="110"/>
        <v>418</v>
      </c>
      <c r="CG14" s="15">
        <f t="shared" si="110"/>
        <v>418</v>
      </c>
      <c r="CH14" s="15">
        <f t="shared" si="110"/>
        <v>418</v>
      </c>
      <c r="CI14" s="15">
        <f t="shared" si="110"/>
        <v>418</v>
      </c>
      <c r="CJ14" s="15">
        <f t="shared" si="110"/>
        <v>418</v>
      </c>
      <c r="CK14" s="15">
        <f t="shared" si="110"/>
        <v>418</v>
      </c>
      <c r="CL14" s="15">
        <f t="shared" si="110"/>
        <v>418</v>
      </c>
      <c r="CM14" s="15">
        <f t="shared" si="110"/>
        <v>418</v>
      </c>
      <c r="CN14" s="15">
        <f t="shared" si="110"/>
        <v>418</v>
      </c>
      <c r="CO14" s="15">
        <f t="shared" si="110"/>
        <v>418</v>
      </c>
      <c r="CP14" s="15">
        <f t="shared" si="110"/>
        <v>418</v>
      </c>
      <c r="CQ14" s="15">
        <f t="shared" si="110"/>
        <v>418</v>
      </c>
      <c r="CR14" s="15">
        <f t="shared" si="110"/>
        <v>418</v>
      </c>
      <c r="CS14" s="15">
        <f t="shared" si="110"/>
        <v>418</v>
      </c>
      <c r="CT14" s="15">
        <f t="shared" si="110"/>
        <v>418</v>
      </c>
      <c r="CU14" s="15">
        <f t="shared" si="110"/>
        <v>418</v>
      </c>
      <c r="CV14" s="15">
        <f t="shared" si="110"/>
        <v>418</v>
      </c>
      <c r="CW14" s="15">
        <f t="shared" si="110"/>
        <v>418</v>
      </c>
      <c r="CX14" s="15">
        <f t="shared" si="110"/>
        <v>418</v>
      </c>
      <c r="CY14" s="15">
        <f t="shared" si="110"/>
        <v>418</v>
      </c>
      <c r="DA14">
        <v>12</v>
      </c>
      <c r="DB14">
        <f t="shared" si="100"/>
        <v>1060.3499999999999</v>
      </c>
      <c r="DC14">
        <f t="shared" si="49"/>
        <v>1063.5999999999999</v>
      </c>
      <c r="DD14">
        <f t="shared" si="50"/>
        <v>799.66666666666663</v>
      </c>
      <c r="DE14">
        <f t="shared" si="51"/>
        <v>820.7833333333333</v>
      </c>
      <c r="DF14">
        <f t="shared" si="52"/>
        <v>766.66666666666663</v>
      </c>
      <c r="DG14">
        <f t="shared" si="53"/>
        <v>791.16666666666663</v>
      </c>
      <c r="DH14">
        <f t="shared" si="54"/>
        <v>515.01666666666665</v>
      </c>
      <c r="DI14">
        <f t="shared" si="55"/>
        <v>985.01666666666665</v>
      </c>
      <c r="DJ14">
        <f t="shared" si="56"/>
        <v>511.16666666666669</v>
      </c>
      <c r="DK14">
        <f t="shared" si="57"/>
        <v>536.73333333333335</v>
      </c>
      <c r="DL14">
        <f t="shared" si="58"/>
        <v>426.86666666666667</v>
      </c>
      <c r="DM14">
        <f t="shared" si="59"/>
        <v>526.38333333333333</v>
      </c>
      <c r="DN14" t="e">
        <f t="shared" si="60"/>
        <v>#NUM!</v>
      </c>
      <c r="DO14" t="e">
        <f t="shared" si="61"/>
        <v>#NUM!</v>
      </c>
      <c r="DP14">
        <f t="shared" si="62"/>
        <v>1071.9166666666667</v>
      </c>
      <c r="DQ14">
        <f t="shared" si="63"/>
        <v>2343.4499999999998</v>
      </c>
      <c r="DR14">
        <f t="shared" si="64"/>
        <v>7489.25</v>
      </c>
      <c r="DS14">
        <f t="shared" si="65"/>
        <v>7489.45</v>
      </c>
      <c r="DT14">
        <f t="shared" si="66"/>
        <v>1739.9166666666667</v>
      </c>
      <c r="DU14">
        <f t="shared" si="67"/>
        <v>2368.7166666666667</v>
      </c>
      <c r="DV14" t="e">
        <f t="shared" si="68"/>
        <v>#NUM!</v>
      </c>
      <c r="DW14" t="e">
        <f t="shared" si="69"/>
        <v>#NUM!</v>
      </c>
      <c r="DX14" t="e">
        <f t="shared" si="70"/>
        <v>#NUM!</v>
      </c>
      <c r="DY14" t="e">
        <f t="shared" si="71"/>
        <v>#NUM!</v>
      </c>
      <c r="DZ14" t="e">
        <f t="shared" si="72"/>
        <v>#NUM!</v>
      </c>
      <c r="EA14" t="e">
        <f t="shared" si="73"/>
        <v>#NUM!</v>
      </c>
      <c r="EB14" t="e">
        <f t="shared" si="74"/>
        <v>#NUM!</v>
      </c>
      <c r="EC14" t="e">
        <f t="shared" si="75"/>
        <v>#NUM!</v>
      </c>
      <c r="ED14" t="e">
        <f t="shared" si="76"/>
        <v>#NUM!</v>
      </c>
      <c r="EE14" t="e">
        <f t="shared" si="77"/>
        <v>#NUM!</v>
      </c>
      <c r="EF14" t="e">
        <f t="shared" si="78"/>
        <v>#NUM!</v>
      </c>
      <c r="EG14" t="e">
        <f t="shared" si="79"/>
        <v>#NUM!</v>
      </c>
      <c r="EH14" t="e">
        <f t="shared" si="80"/>
        <v>#NUM!</v>
      </c>
      <c r="EI14" t="e">
        <f t="shared" si="81"/>
        <v>#NUM!</v>
      </c>
      <c r="EJ14" t="e">
        <f t="shared" si="82"/>
        <v>#NUM!</v>
      </c>
      <c r="EK14" t="e">
        <f t="shared" si="83"/>
        <v>#NUM!</v>
      </c>
      <c r="EL14" t="e">
        <f t="shared" si="84"/>
        <v>#NUM!</v>
      </c>
      <c r="EM14" t="e">
        <f t="shared" si="85"/>
        <v>#NUM!</v>
      </c>
      <c r="EN14" t="e">
        <f t="shared" si="86"/>
        <v>#NUM!</v>
      </c>
      <c r="EO14" t="e">
        <f t="shared" si="87"/>
        <v>#NUM!</v>
      </c>
      <c r="EP14" t="e">
        <f t="shared" si="88"/>
        <v>#NUM!</v>
      </c>
      <c r="EQ14" t="e">
        <f t="shared" si="89"/>
        <v>#NUM!</v>
      </c>
      <c r="ER14" t="e">
        <f t="shared" si="90"/>
        <v>#NUM!</v>
      </c>
      <c r="ES14" t="e">
        <f t="shared" si="91"/>
        <v>#NUM!</v>
      </c>
      <c r="ET14" t="e">
        <f t="shared" si="92"/>
        <v>#NUM!</v>
      </c>
      <c r="EU14" t="e">
        <f t="shared" si="93"/>
        <v>#NUM!</v>
      </c>
      <c r="EV14" t="e">
        <f t="shared" si="94"/>
        <v>#NUM!</v>
      </c>
      <c r="EW14" t="e">
        <f t="shared" si="95"/>
        <v>#NUM!</v>
      </c>
      <c r="EX14" t="e">
        <f t="shared" si="96"/>
        <v>#NUM!</v>
      </c>
      <c r="EY14" t="e">
        <f t="shared" si="97"/>
        <v>#NUM!</v>
      </c>
    </row>
    <row r="15" spans="1:155" x14ac:dyDescent="0.25">
      <c r="A15" s="16">
        <f t="shared" si="98"/>
        <v>71</v>
      </c>
      <c r="B15" t="s">
        <v>26</v>
      </c>
      <c r="C15" s="13">
        <v>721.55</v>
      </c>
      <c r="D15" s="13">
        <v>721.55</v>
      </c>
      <c r="E15" s="13">
        <v>374.83333333333331</v>
      </c>
      <c r="F15" s="13">
        <v>646.2833333333333</v>
      </c>
      <c r="G15" s="13">
        <v>121.81666666666666</v>
      </c>
      <c r="H15" s="13">
        <v>145.18333333333334</v>
      </c>
      <c r="I15" s="13">
        <v>814.33333333333337</v>
      </c>
      <c r="J15" s="13">
        <v>2238.2833333333333</v>
      </c>
      <c r="K15" s="13">
        <v>1682.7166666666667</v>
      </c>
      <c r="L15" s="13">
        <v>1705.7666666666667</v>
      </c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B15" s="15">
        <v>0</v>
      </c>
      <c r="BC15" s="15">
        <v>0</v>
      </c>
      <c r="BD15" s="15">
        <f t="shared" ref="BD15:CY15" si="111">IF(E15&lt;&gt;"",IF(E15=DD$3,25,IF(E15=DD$4,24,IF(E15=DD$5,23,IF(E15=DD$6,22,IF(E15=DD$6,22,IF(E15=DD$7,21,IF(E15=DD$8,20,IF(E15=DD$9,19,IF(E15=DD$10,18,IF(E15=DD$11,17,0)))))))))),0)+BC15</f>
        <v>17</v>
      </c>
      <c r="BE15" s="15">
        <f t="shared" si="111"/>
        <v>34</v>
      </c>
      <c r="BF15" s="15">
        <f t="shared" si="111"/>
        <v>53</v>
      </c>
      <c r="BG15" s="15">
        <f t="shared" si="111"/>
        <v>71</v>
      </c>
      <c r="BH15" s="15">
        <f t="shared" si="111"/>
        <v>71</v>
      </c>
      <c r="BI15" s="15">
        <f t="shared" si="111"/>
        <v>71</v>
      </c>
      <c r="BJ15" s="15">
        <f t="shared" si="111"/>
        <v>71</v>
      </c>
      <c r="BK15" s="15">
        <f t="shared" si="111"/>
        <v>71</v>
      </c>
      <c r="BL15" s="15">
        <f t="shared" si="111"/>
        <v>71</v>
      </c>
      <c r="BM15" s="15">
        <f t="shared" si="111"/>
        <v>71</v>
      </c>
      <c r="BN15" s="15">
        <f t="shared" si="111"/>
        <v>71</v>
      </c>
      <c r="BO15" s="15">
        <f t="shared" si="111"/>
        <v>71</v>
      </c>
      <c r="BP15" s="15">
        <f t="shared" si="111"/>
        <v>71</v>
      </c>
      <c r="BQ15" s="15">
        <f t="shared" si="111"/>
        <v>71</v>
      </c>
      <c r="BR15" s="15">
        <f t="shared" si="111"/>
        <v>71</v>
      </c>
      <c r="BS15" s="15">
        <f t="shared" si="111"/>
        <v>71</v>
      </c>
      <c r="BT15" s="15">
        <f t="shared" si="111"/>
        <v>71</v>
      </c>
      <c r="BU15" s="15">
        <f t="shared" si="111"/>
        <v>71</v>
      </c>
      <c r="BV15" s="15">
        <f t="shared" si="111"/>
        <v>71</v>
      </c>
      <c r="BW15" s="15">
        <f t="shared" si="111"/>
        <v>71</v>
      </c>
      <c r="BX15" s="15">
        <f t="shared" si="111"/>
        <v>71</v>
      </c>
      <c r="BY15" s="15">
        <f t="shared" si="111"/>
        <v>71</v>
      </c>
      <c r="BZ15" s="15">
        <f t="shared" si="111"/>
        <v>71</v>
      </c>
      <c r="CA15" s="15">
        <f t="shared" si="111"/>
        <v>71</v>
      </c>
      <c r="CB15" s="15">
        <f t="shared" si="111"/>
        <v>71</v>
      </c>
      <c r="CC15" s="15">
        <f t="shared" si="111"/>
        <v>71</v>
      </c>
      <c r="CD15" s="15">
        <f t="shared" si="111"/>
        <v>71</v>
      </c>
      <c r="CE15" s="15">
        <f t="shared" si="111"/>
        <v>71</v>
      </c>
      <c r="CF15" s="15">
        <f t="shared" si="111"/>
        <v>71</v>
      </c>
      <c r="CG15" s="15">
        <f t="shared" si="111"/>
        <v>71</v>
      </c>
      <c r="CH15" s="15">
        <f t="shared" si="111"/>
        <v>71</v>
      </c>
      <c r="CI15" s="15">
        <f t="shared" si="111"/>
        <v>71</v>
      </c>
      <c r="CJ15" s="15">
        <f t="shared" si="111"/>
        <v>71</v>
      </c>
      <c r="CK15" s="15">
        <f t="shared" si="111"/>
        <v>71</v>
      </c>
      <c r="CL15" s="15">
        <f t="shared" si="111"/>
        <v>71</v>
      </c>
      <c r="CM15" s="15">
        <f t="shared" si="111"/>
        <v>71</v>
      </c>
      <c r="CN15" s="15">
        <f t="shared" si="111"/>
        <v>71</v>
      </c>
      <c r="CO15" s="15">
        <f t="shared" si="111"/>
        <v>71</v>
      </c>
      <c r="CP15" s="15">
        <f t="shared" si="111"/>
        <v>71</v>
      </c>
      <c r="CQ15" s="15">
        <f t="shared" si="111"/>
        <v>71</v>
      </c>
      <c r="CR15" s="15">
        <f t="shared" si="111"/>
        <v>71</v>
      </c>
      <c r="CS15" s="15">
        <f t="shared" si="111"/>
        <v>71</v>
      </c>
      <c r="CT15" s="15">
        <f t="shared" si="111"/>
        <v>71</v>
      </c>
      <c r="CU15" s="15">
        <f t="shared" si="111"/>
        <v>71</v>
      </c>
      <c r="CV15" s="15">
        <f t="shared" si="111"/>
        <v>71</v>
      </c>
      <c r="CW15" s="15">
        <f t="shared" si="111"/>
        <v>71</v>
      </c>
      <c r="CX15" s="15">
        <f t="shared" si="111"/>
        <v>71</v>
      </c>
      <c r="CY15" s="15">
        <f t="shared" si="111"/>
        <v>71</v>
      </c>
      <c r="DA15">
        <v>13</v>
      </c>
      <c r="DB15">
        <f t="shared" si="100"/>
        <v>1792.6333333333334</v>
      </c>
      <c r="DC15">
        <f t="shared" si="49"/>
        <v>1792.6333333333334</v>
      </c>
      <c r="DD15">
        <f t="shared" si="50"/>
        <v>817.66666666666663</v>
      </c>
      <c r="DE15">
        <f t="shared" si="51"/>
        <v>828.51666666666665</v>
      </c>
      <c r="DF15">
        <f t="shared" si="52"/>
        <v>784.0333333333333</v>
      </c>
      <c r="DG15">
        <f t="shared" si="53"/>
        <v>792.7</v>
      </c>
      <c r="DH15">
        <f t="shared" si="54"/>
        <v>698.98333333333335</v>
      </c>
      <c r="DI15">
        <f t="shared" si="55"/>
        <v>1068.9166666666667</v>
      </c>
      <c r="DJ15">
        <f t="shared" si="56"/>
        <v>603.08333333333337</v>
      </c>
      <c r="DK15">
        <f t="shared" si="57"/>
        <v>724.7</v>
      </c>
      <c r="DL15">
        <f t="shared" si="58"/>
        <v>494.08333333333331</v>
      </c>
      <c r="DM15">
        <f t="shared" si="59"/>
        <v>965.35</v>
      </c>
      <c r="DN15" t="e">
        <f t="shared" si="60"/>
        <v>#NUM!</v>
      </c>
      <c r="DO15" t="e">
        <f t="shared" si="61"/>
        <v>#NUM!</v>
      </c>
      <c r="DP15">
        <f t="shared" si="62"/>
        <v>8931.3333333333339</v>
      </c>
      <c r="DQ15">
        <f t="shared" si="63"/>
        <v>8931.5166666666664</v>
      </c>
      <c r="DR15" t="e">
        <f t="shared" si="64"/>
        <v>#NUM!</v>
      </c>
      <c r="DS15" t="e">
        <f t="shared" si="65"/>
        <v>#NUM!</v>
      </c>
      <c r="DT15" t="e">
        <f t="shared" si="66"/>
        <v>#NUM!</v>
      </c>
      <c r="DU15" t="e">
        <f t="shared" si="67"/>
        <v>#NUM!</v>
      </c>
      <c r="DV15" t="e">
        <f t="shared" si="68"/>
        <v>#NUM!</v>
      </c>
      <c r="DW15" t="e">
        <f t="shared" si="69"/>
        <v>#NUM!</v>
      </c>
      <c r="DX15" t="e">
        <f t="shared" si="70"/>
        <v>#NUM!</v>
      </c>
      <c r="DY15" t="e">
        <f t="shared" si="71"/>
        <v>#NUM!</v>
      </c>
      <c r="DZ15" t="e">
        <f t="shared" si="72"/>
        <v>#NUM!</v>
      </c>
      <c r="EA15" t="e">
        <f t="shared" si="73"/>
        <v>#NUM!</v>
      </c>
      <c r="EB15" t="e">
        <f t="shared" si="74"/>
        <v>#NUM!</v>
      </c>
      <c r="EC15" t="e">
        <f t="shared" si="75"/>
        <v>#NUM!</v>
      </c>
      <c r="ED15" t="e">
        <f t="shared" si="76"/>
        <v>#NUM!</v>
      </c>
      <c r="EE15" t="e">
        <f t="shared" si="77"/>
        <v>#NUM!</v>
      </c>
      <c r="EF15" t="e">
        <f t="shared" si="78"/>
        <v>#NUM!</v>
      </c>
      <c r="EG15" t="e">
        <f t="shared" si="79"/>
        <v>#NUM!</v>
      </c>
      <c r="EH15" t="e">
        <f t="shared" si="80"/>
        <v>#NUM!</v>
      </c>
      <c r="EI15" t="e">
        <f t="shared" si="81"/>
        <v>#NUM!</v>
      </c>
      <c r="EJ15" t="e">
        <f t="shared" si="82"/>
        <v>#NUM!</v>
      </c>
      <c r="EK15" t="e">
        <f t="shared" si="83"/>
        <v>#NUM!</v>
      </c>
      <c r="EL15" t="e">
        <f t="shared" si="84"/>
        <v>#NUM!</v>
      </c>
      <c r="EM15" t="e">
        <f t="shared" si="85"/>
        <v>#NUM!</v>
      </c>
      <c r="EN15" t="e">
        <f t="shared" si="86"/>
        <v>#NUM!</v>
      </c>
      <c r="EO15" t="e">
        <f t="shared" si="87"/>
        <v>#NUM!</v>
      </c>
      <c r="EP15" t="e">
        <f t="shared" si="88"/>
        <v>#NUM!</v>
      </c>
      <c r="EQ15" t="e">
        <f t="shared" si="89"/>
        <v>#NUM!</v>
      </c>
      <c r="ER15" t="e">
        <f t="shared" si="90"/>
        <v>#NUM!</v>
      </c>
      <c r="ES15" t="e">
        <f t="shared" si="91"/>
        <v>#NUM!</v>
      </c>
      <c r="ET15" t="e">
        <f t="shared" si="92"/>
        <v>#NUM!</v>
      </c>
      <c r="EU15" t="e">
        <f t="shared" si="93"/>
        <v>#NUM!</v>
      </c>
      <c r="EV15" t="e">
        <f t="shared" si="94"/>
        <v>#NUM!</v>
      </c>
      <c r="EW15" t="e">
        <f t="shared" si="95"/>
        <v>#NUM!</v>
      </c>
      <c r="EX15" t="e">
        <f t="shared" si="96"/>
        <v>#NUM!</v>
      </c>
      <c r="EY15" t="e">
        <f t="shared" si="97"/>
        <v>#NUM!</v>
      </c>
    </row>
    <row r="16" spans="1:155" x14ac:dyDescent="0.25">
      <c r="A16" s="16">
        <f t="shared" si="98"/>
        <v>39</v>
      </c>
      <c r="B16" t="s">
        <v>27</v>
      </c>
      <c r="C16" s="13">
        <v>558.7166666666667</v>
      </c>
      <c r="D16" s="13">
        <v>558.7166666666667</v>
      </c>
      <c r="E16" s="13">
        <v>240.58333333333334</v>
      </c>
      <c r="F16" s="13">
        <v>240.58333333333334</v>
      </c>
      <c r="G16" s="13">
        <v>243.23333333333332</v>
      </c>
      <c r="H16" s="13">
        <v>596.73333333333335</v>
      </c>
      <c r="I16" s="13">
        <v>515.01666666666665</v>
      </c>
      <c r="J16" s="13">
        <v>1068.9166666666667</v>
      </c>
      <c r="K16" s="13">
        <v>511.16666666666669</v>
      </c>
      <c r="L16" s="13">
        <v>536.73333333333335</v>
      </c>
      <c r="M16" s="13">
        <v>426.86666666666667</v>
      </c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B16" s="15">
        <v>0</v>
      </c>
      <c r="BC16" s="15">
        <v>0</v>
      </c>
      <c r="BD16" s="15">
        <f t="shared" ref="BD16:CY16" si="112">IF(E16&lt;&gt;"",IF(E16=DD$3,25,IF(E16=DD$4,24,IF(E16=DD$5,23,IF(E16=DD$6,22,IF(E16=DD$6,22,IF(E16=DD$7,21,IF(E16=DD$8,20,IF(E16=DD$9,19,IF(E16=DD$10,18,IF(E16=DD$11,17,0)))))))))),0)+BC16</f>
        <v>19</v>
      </c>
      <c r="BE16" s="15">
        <f t="shared" si="112"/>
        <v>39</v>
      </c>
      <c r="BF16" s="15">
        <f t="shared" si="112"/>
        <v>39</v>
      </c>
      <c r="BG16" s="15">
        <f t="shared" si="112"/>
        <v>39</v>
      </c>
      <c r="BH16" s="15">
        <f t="shared" si="112"/>
        <v>39</v>
      </c>
      <c r="BI16" s="15">
        <f t="shared" si="112"/>
        <v>39</v>
      </c>
      <c r="BJ16" s="15">
        <f t="shared" si="112"/>
        <v>39</v>
      </c>
      <c r="BK16" s="15">
        <f t="shared" si="112"/>
        <v>39</v>
      </c>
      <c r="BL16" s="15">
        <f t="shared" si="112"/>
        <v>39</v>
      </c>
      <c r="BM16" s="15">
        <f t="shared" si="112"/>
        <v>39</v>
      </c>
      <c r="BN16" s="15">
        <f t="shared" si="112"/>
        <v>39</v>
      </c>
      <c r="BO16" s="15">
        <f t="shared" si="112"/>
        <v>39</v>
      </c>
      <c r="BP16" s="15">
        <f t="shared" si="112"/>
        <v>39</v>
      </c>
      <c r="BQ16" s="15">
        <f t="shared" si="112"/>
        <v>39</v>
      </c>
      <c r="BR16" s="15">
        <f t="shared" si="112"/>
        <v>39</v>
      </c>
      <c r="BS16" s="15">
        <f t="shared" si="112"/>
        <v>39</v>
      </c>
      <c r="BT16" s="15">
        <f t="shared" si="112"/>
        <v>39</v>
      </c>
      <c r="BU16" s="15">
        <f t="shared" si="112"/>
        <v>39</v>
      </c>
      <c r="BV16" s="15">
        <f t="shared" si="112"/>
        <v>39</v>
      </c>
      <c r="BW16" s="15">
        <f t="shared" si="112"/>
        <v>39</v>
      </c>
      <c r="BX16" s="15">
        <f t="shared" si="112"/>
        <v>39</v>
      </c>
      <c r="BY16" s="15">
        <f t="shared" si="112"/>
        <v>39</v>
      </c>
      <c r="BZ16" s="15">
        <f t="shared" si="112"/>
        <v>39</v>
      </c>
      <c r="CA16" s="15">
        <f t="shared" si="112"/>
        <v>39</v>
      </c>
      <c r="CB16" s="15">
        <f t="shared" si="112"/>
        <v>39</v>
      </c>
      <c r="CC16" s="15">
        <f t="shared" si="112"/>
        <v>39</v>
      </c>
      <c r="CD16" s="15">
        <f t="shared" si="112"/>
        <v>39</v>
      </c>
      <c r="CE16" s="15">
        <f t="shared" si="112"/>
        <v>39</v>
      </c>
      <c r="CF16" s="15">
        <f t="shared" si="112"/>
        <v>39</v>
      </c>
      <c r="CG16" s="15">
        <f t="shared" si="112"/>
        <v>39</v>
      </c>
      <c r="CH16" s="15">
        <f t="shared" si="112"/>
        <v>39</v>
      </c>
      <c r="CI16" s="15">
        <f t="shared" si="112"/>
        <v>39</v>
      </c>
      <c r="CJ16" s="15">
        <f t="shared" si="112"/>
        <v>39</v>
      </c>
      <c r="CK16" s="15">
        <f t="shared" si="112"/>
        <v>39</v>
      </c>
      <c r="CL16" s="15">
        <f t="shared" si="112"/>
        <v>39</v>
      </c>
      <c r="CM16" s="15">
        <f t="shared" si="112"/>
        <v>39</v>
      </c>
      <c r="CN16" s="15">
        <f t="shared" si="112"/>
        <v>39</v>
      </c>
      <c r="CO16" s="15">
        <f t="shared" si="112"/>
        <v>39</v>
      </c>
      <c r="CP16" s="15">
        <f t="shared" si="112"/>
        <v>39</v>
      </c>
      <c r="CQ16" s="15">
        <f t="shared" si="112"/>
        <v>39</v>
      </c>
      <c r="CR16" s="15">
        <f t="shared" si="112"/>
        <v>39</v>
      </c>
      <c r="CS16" s="15">
        <f t="shared" si="112"/>
        <v>39</v>
      </c>
      <c r="CT16" s="15">
        <f t="shared" si="112"/>
        <v>39</v>
      </c>
      <c r="CU16" s="15">
        <f t="shared" si="112"/>
        <v>39</v>
      </c>
      <c r="CV16" s="15">
        <f t="shared" si="112"/>
        <v>39</v>
      </c>
      <c r="CW16" s="15">
        <f t="shared" si="112"/>
        <v>39</v>
      </c>
      <c r="CX16" s="15">
        <f t="shared" si="112"/>
        <v>39</v>
      </c>
      <c r="CY16" s="15">
        <f t="shared" si="112"/>
        <v>39</v>
      </c>
      <c r="DA16">
        <v>14</v>
      </c>
      <c r="DB16">
        <f t="shared" si="100"/>
        <v>2214.7333333333331</v>
      </c>
      <c r="DC16">
        <f t="shared" si="49"/>
        <v>2214.7333333333331</v>
      </c>
      <c r="DD16">
        <f t="shared" si="50"/>
        <v>955.7166666666667</v>
      </c>
      <c r="DE16">
        <f t="shared" si="51"/>
        <v>955.7166666666667</v>
      </c>
      <c r="DF16">
        <f t="shared" si="52"/>
        <v>842.95</v>
      </c>
      <c r="DG16">
        <f t="shared" si="53"/>
        <v>847.73333333333335</v>
      </c>
      <c r="DH16">
        <f t="shared" si="54"/>
        <v>790.68333333333328</v>
      </c>
      <c r="DI16">
        <f t="shared" si="55"/>
        <v>2232.5500000000002</v>
      </c>
      <c r="DJ16">
        <f t="shared" si="56"/>
        <v>851.83333333333337</v>
      </c>
      <c r="DK16">
        <f t="shared" si="57"/>
        <v>870.75</v>
      </c>
      <c r="DL16">
        <f t="shared" si="58"/>
        <v>961.91666666666663</v>
      </c>
      <c r="DM16" t="e">
        <f t="shared" si="59"/>
        <v>#NUM!</v>
      </c>
      <c r="DN16" t="e">
        <f t="shared" si="60"/>
        <v>#NUM!</v>
      </c>
      <c r="DO16" t="e">
        <f t="shared" si="61"/>
        <v>#NUM!</v>
      </c>
      <c r="DP16" t="e">
        <f t="shared" si="62"/>
        <v>#NUM!</v>
      </c>
      <c r="DQ16" t="e">
        <f t="shared" si="63"/>
        <v>#NUM!</v>
      </c>
      <c r="DR16" t="e">
        <f t="shared" si="64"/>
        <v>#NUM!</v>
      </c>
      <c r="DS16" t="e">
        <f t="shared" si="65"/>
        <v>#NUM!</v>
      </c>
      <c r="DT16" t="e">
        <f t="shared" si="66"/>
        <v>#NUM!</v>
      </c>
      <c r="DU16" t="e">
        <f t="shared" si="67"/>
        <v>#NUM!</v>
      </c>
      <c r="DV16" t="e">
        <f t="shared" si="68"/>
        <v>#NUM!</v>
      </c>
      <c r="DW16" t="e">
        <f t="shared" si="69"/>
        <v>#NUM!</v>
      </c>
      <c r="DX16" t="e">
        <f t="shared" si="70"/>
        <v>#NUM!</v>
      </c>
      <c r="DY16" t="e">
        <f t="shared" si="71"/>
        <v>#NUM!</v>
      </c>
      <c r="DZ16" t="e">
        <f t="shared" si="72"/>
        <v>#NUM!</v>
      </c>
      <c r="EA16" t="e">
        <f t="shared" si="73"/>
        <v>#NUM!</v>
      </c>
      <c r="EB16" t="e">
        <f t="shared" si="74"/>
        <v>#NUM!</v>
      </c>
      <c r="EC16" t="e">
        <f t="shared" si="75"/>
        <v>#NUM!</v>
      </c>
      <c r="ED16" t="e">
        <f t="shared" si="76"/>
        <v>#NUM!</v>
      </c>
      <c r="EE16" t="e">
        <f t="shared" si="77"/>
        <v>#NUM!</v>
      </c>
      <c r="EF16" t="e">
        <f t="shared" si="78"/>
        <v>#NUM!</v>
      </c>
      <c r="EG16" t="e">
        <f t="shared" si="79"/>
        <v>#NUM!</v>
      </c>
      <c r="EH16" t="e">
        <f t="shared" si="80"/>
        <v>#NUM!</v>
      </c>
      <c r="EI16" t="e">
        <f t="shared" si="81"/>
        <v>#NUM!</v>
      </c>
      <c r="EJ16" t="e">
        <f t="shared" si="82"/>
        <v>#NUM!</v>
      </c>
      <c r="EK16" t="e">
        <f t="shared" si="83"/>
        <v>#NUM!</v>
      </c>
      <c r="EL16" t="e">
        <f t="shared" si="84"/>
        <v>#NUM!</v>
      </c>
      <c r="EM16" t="e">
        <f t="shared" si="85"/>
        <v>#NUM!</v>
      </c>
      <c r="EN16" t="e">
        <f t="shared" si="86"/>
        <v>#NUM!</v>
      </c>
      <c r="EO16" t="e">
        <f t="shared" si="87"/>
        <v>#NUM!</v>
      </c>
      <c r="EP16" t="e">
        <f t="shared" si="88"/>
        <v>#NUM!</v>
      </c>
      <c r="EQ16" t="e">
        <f t="shared" si="89"/>
        <v>#NUM!</v>
      </c>
      <c r="ER16" t="e">
        <f t="shared" si="90"/>
        <v>#NUM!</v>
      </c>
      <c r="ES16" t="e">
        <f t="shared" si="91"/>
        <v>#NUM!</v>
      </c>
      <c r="ET16" t="e">
        <f t="shared" si="92"/>
        <v>#NUM!</v>
      </c>
      <c r="EU16" t="e">
        <f t="shared" si="93"/>
        <v>#NUM!</v>
      </c>
      <c r="EV16" t="e">
        <f t="shared" si="94"/>
        <v>#NUM!</v>
      </c>
      <c r="EW16" t="e">
        <f t="shared" si="95"/>
        <v>#NUM!</v>
      </c>
      <c r="EX16" t="e">
        <f t="shared" si="96"/>
        <v>#NUM!</v>
      </c>
      <c r="EY16" t="e">
        <f t="shared" si="97"/>
        <v>#NUM!</v>
      </c>
    </row>
    <row r="17" spans="1:155" x14ac:dyDescent="0.25">
      <c r="A17" s="16">
        <f t="shared" si="98"/>
        <v>362</v>
      </c>
      <c r="B17" t="s">
        <v>28</v>
      </c>
      <c r="C17" s="13">
        <v>55.3</v>
      </c>
      <c r="D17" s="13">
        <v>176.18333333333334</v>
      </c>
      <c r="E17" s="13">
        <v>238.4</v>
      </c>
      <c r="F17" s="13">
        <v>252.36666666666667</v>
      </c>
      <c r="G17" s="13">
        <v>169.53333333333333</v>
      </c>
      <c r="H17" s="13">
        <v>173.9</v>
      </c>
      <c r="I17" s="13">
        <v>116.83333333333333</v>
      </c>
      <c r="J17" s="13">
        <v>188.23333333333332</v>
      </c>
      <c r="K17" s="13">
        <v>337.46666666666664</v>
      </c>
      <c r="L17" s="13">
        <v>350.8</v>
      </c>
      <c r="M17" s="13">
        <v>365.48333333333335</v>
      </c>
      <c r="N17" s="13">
        <v>425.05</v>
      </c>
      <c r="O17" s="13">
        <v>985.2833333333333</v>
      </c>
      <c r="P17" s="13">
        <v>1025.0833333333333</v>
      </c>
      <c r="Q17" s="13">
        <v>17.149999999999999</v>
      </c>
      <c r="R17" s="13">
        <v>47.05</v>
      </c>
      <c r="S17" s="13">
        <v>27.1</v>
      </c>
      <c r="T17" s="13">
        <v>56</v>
      </c>
      <c r="U17" s="13">
        <v>147.96666666666667</v>
      </c>
      <c r="V17" s="13">
        <v>1102.4833333333333</v>
      </c>
      <c r="W17" s="13">
        <v>267.06666666666666</v>
      </c>
      <c r="X17" s="13">
        <v>267.06666666666666</v>
      </c>
      <c r="Y17" s="13">
        <v>1097.0166666666667</v>
      </c>
      <c r="Z17" s="13">
        <v>1168.95</v>
      </c>
      <c r="AA17" s="13">
        <v>944.06666666666672</v>
      </c>
      <c r="AB17" s="13"/>
      <c r="AC17" s="13">
        <v>69.733333333333334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B17" s="15">
        <v>0</v>
      </c>
      <c r="BC17" s="15">
        <v>0</v>
      </c>
      <c r="BD17" s="15">
        <f t="shared" ref="BD17:CY17" si="113">IF(E17&lt;&gt;"",IF(E17=DD$3,25,IF(E17=DD$4,24,IF(E17=DD$5,23,IF(E17=DD$6,22,IF(E17=DD$6,22,IF(E17=DD$7,21,IF(E17=DD$8,20,IF(E17=DD$9,19,IF(E17=DD$10,18,IF(E17=DD$11,17,0)))))))))),0)+BC17</f>
        <v>20</v>
      </c>
      <c r="BE17" s="15">
        <f t="shared" si="113"/>
        <v>39</v>
      </c>
      <c r="BF17" s="15">
        <f t="shared" si="113"/>
        <v>56</v>
      </c>
      <c r="BG17" s="15">
        <f t="shared" si="113"/>
        <v>73</v>
      </c>
      <c r="BH17" s="15">
        <f t="shared" si="113"/>
        <v>95</v>
      </c>
      <c r="BI17" s="15">
        <f t="shared" si="113"/>
        <v>116</v>
      </c>
      <c r="BJ17" s="15">
        <f t="shared" si="113"/>
        <v>116</v>
      </c>
      <c r="BK17" s="15">
        <f t="shared" si="113"/>
        <v>116</v>
      </c>
      <c r="BL17" s="15">
        <f t="shared" si="113"/>
        <v>116</v>
      </c>
      <c r="BM17" s="15">
        <f t="shared" si="113"/>
        <v>133</v>
      </c>
      <c r="BN17" s="15">
        <f t="shared" si="113"/>
        <v>150</v>
      </c>
      <c r="BO17" s="15">
        <f t="shared" si="113"/>
        <v>167</v>
      </c>
      <c r="BP17" s="15">
        <f t="shared" si="113"/>
        <v>192</v>
      </c>
      <c r="BQ17" s="15">
        <f t="shared" si="113"/>
        <v>215</v>
      </c>
      <c r="BR17" s="15">
        <f t="shared" si="113"/>
        <v>238</v>
      </c>
      <c r="BS17" s="15">
        <f t="shared" si="113"/>
        <v>259</v>
      </c>
      <c r="BT17" s="15">
        <f t="shared" si="113"/>
        <v>279</v>
      </c>
      <c r="BU17" s="15">
        <f t="shared" si="113"/>
        <v>296</v>
      </c>
      <c r="BV17" s="15">
        <f t="shared" si="113"/>
        <v>317</v>
      </c>
      <c r="BW17" s="15">
        <f t="shared" si="113"/>
        <v>338</v>
      </c>
      <c r="BX17" s="15">
        <f t="shared" si="113"/>
        <v>338</v>
      </c>
      <c r="BY17" s="15">
        <f t="shared" si="113"/>
        <v>338</v>
      </c>
      <c r="BZ17" s="15">
        <f t="shared" si="113"/>
        <v>338</v>
      </c>
      <c r="CA17" s="15">
        <f t="shared" si="113"/>
        <v>338</v>
      </c>
      <c r="CB17" s="15">
        <f t="shared" si="113"/>
        <v>362</v>
      </c>
      <c r="CC17" s="15">
        <f t="shared" si="113"/>
        <v>362</v>
      </c>
      <c r="CD17" s="15">
        <f t="shared" si="113"/>
        <v>362</v>
      </c>
      <c r="CE17" s="15">
        <f t="shared" si="113"/>
        <v>362</v>
      </c>
      <c r="CF17" s="15">
        <f t="shared" si="113"/>
        <v>362</v>
      </c>
      <c r="CG17" s="15">
        <f t="shared" si="113"/>
        <v>362</v>
      </c>
      <c r="CH17" s="15">
        <f t="shared" si="113"/>
        <v>362</v>
      </c>
      <c r="CI17" s="15">
        <f t="shared" si="113"/>
        <v>362</v>
      </c>
      <c r="CJ17" s="15">
        <f t="shared" si="113"/>
        <v>362</v>
      </c>
      <c r="CK17" s="15">
        <f t="shared" si="113"/>
        <v>362</v>
      </c>
      <c r="CL17" s="15">
        <f t="shared" si="113"/>
        <v>362</v>
      </c>
      <c r="CM17" s="15">
        <f t="shared" si="113"/>
        <v>362</v>
      </c>
      <c r="CN17" s="15">
        <f t="shared" si="113"/>
        <v>362</v>
      </c>
      <c r="CO17" s="15">
        <f t="shared" si="113"/>
        <v>362</v>
      </c>
      <c r="CP17" s="15">
        <f t="shared" si="113"/>
        <v>362</v>
      </c>
      <c r="CQ17" s="15">
        <f t="shared" si="113"/>
        <v>362</v>
      </c>
      <c r="CR17" s="15">
        <f t="shared" si="113"/>
        <v>362</v>
      </c>
      <c r="CS17" s="15">
        <f t="shared" si="113"/>
        <v>362</v>
      </c>
      <c r="CT17" s="15">
        <f t="shared" si="113"/>
        <v>362</v>
      </c>
      <c r="CU17" s="15">
        <f t="shared" si="113"/>
        <v>362</v>
      </c>
      <c r="CV17" s="15">
        <f t="shared" si="113"/>
        <v>362</v>
      </c>
      <c r="CW17" s="15">
        <f t="shared" si="113"/>
        <v>362</v>
      </c>
      <c r="CX17" s="15">
        <f t="shared" si="113"/>
        <v>362</v>
      </c>
      <c r="CY17" s="15">
        <f t="shared" si="113"/>
        <v>362</v>
      </c>
      <c r="DA17">
        <v>15</v>
      </c>
      <c r="DB17">
        <f t="shared" si="100"/>
        <v>2451.9</v>
      </c>
      <c r="DC17">
        <f t="shared" si="49"/>
        <v>2451.9</v>
      </c>
      <c r="DD17">
        <f t="shared" si="50"/>
        <v>1045.4833333333333</v>
      </c>
      <c r="DE17">
        <f t="shared" si="51"/>
        <v>1591.25</v>
      </c>
      <c r="DF17">
        <f t="shared" si="52"/>
        <v>895.2833333333333</v>
      </c>
      <c r="DG17">
        <f t="shared" si="53"/>
        <v>933.31666666666672</v>
      </c>
      <c r="DH17">
        <f t="shared" si="54"/>
        <v>814.33333333333337</v>
      </c>
      <c r="DI17">
        <f t="shared" si="55"/>
        <v>2238.2833333333333</v>
      </c>
      <c r="DJ17">
        <f t="shared" si="56"/>
        <v>1682.7166666666667</v>
      </c>
      <c r="DK17">
        <f t="shared" si="57"/>
        <v>1705.7666666666667</v>
      </c>
      <c r="DL17" t="e">
        <f t="shared" si="58"/>
        <v>#NUM!</v>
      </c>
      <c r="DM17" t="e">
        <f t="shared" si="59"/>
        <v>#NUM!</v>
      </c>
      <c r="DN17" t="e">
        <f t="shared" si="60"/>
        <v>#NUM!</v>
      </c>
      <c r="DO17" t="e">
        <f t="shared" si="61"/>
        <v>#NUM!</v>
      </c>
      <c r="DP17" t="e">
        <f t="shared" si="62"/>
        <v>#NUM!</v>
      </c>
      <c r="DQ17" t="e">
        <f t="shared" si="63"/>
        <v>#NUM!</v>
      </c>
      <c r="DR17" t="e">
        <f t="shared" si="64"/>
        <v>#NUM!</v>
      </c>
      <c r="DS17" t="e">
        <f t="shared" si="65"/>
        <v>#NUM!</v>
      </c>
      <c r="DT17" t="e">
        <f t="shared" si="66"/>
        <v>#NUM!</v>
      </c>
      <c r="DU17" t="e">
        <f t="shared" si="67"/>
        <v>#NUM!</v>
      </c>
      <c r="DV17" t="e">
        <f t="shared" si="68"/>
        <v>#NUM!</v>
      </c>
      <c r="DW17" t="e">
        <f t="shared" si="69"/>
        <v>#NUM!</v>
      </c>
      <c r="DX17" t="e">
        <f t="shared" si="70"/>
        <v>#NUM!</v>
      </c>
      <c r="DY17" t="e">
        <f t="shared" si="71"/>
        <v>#NUM!</v>
      </c>
      <c r="DZ17" t="e">
        <f t="shared" si="72"/>
        <v>#NUM!</v>
      </c>
      <c r="EA17" t="e">
        <f t="shared" si="73"/>
        <v>#NUM!</v>
      </c>
      <c r="EB17" t="e">
        <f t="shared" si="74"/>
        <v>#NUM!</v>
      </c>
      <c r="EC17" t="e">
        <f t="shared" si="75"/>
        <v>#NUM!</v>
      </c>
      <c r="ED17" t="e">
        <f t="shared" si="76"/>
        <v>#NUM!</v>
      </c>
      <c r="EE17" t="e">
        <f t="shared" si="77"/>
        <v>#NUM!</v>
      </c>
      <c r="EF17" t="e">
        <f t="shared" si="78"/>
        <v>#NUM!</v>
      </c>
      <c r="EG17" t="e">
        <f t="shared" si="79"/>
        <v>#NUM!</v>
      </c>
      <c r="EH17" t="e">
        <f t="shared" si="80"/>
        <v>#NUM!</v>
      </c>
      <c r="EI17" t="e">
        <f t="shared" si="81"/>
        <v>#NUM!</v>
      </c>
      <c r="EJ17" t="e">
        <f t="shared" si="82"/>
        <v>#NUM!</v>
      </c>
      <c r="EK17" t="e">
        <f t="shared" si="83"/>
        <v>#NUM!</v>
      </c>
      <c r="EL17" t="e">
        <f t="shared" si="84"/>
        <v>#NUM!</v>
      </c>
      <c r="EM17" t="e">
        <f t="shared" si="85"/>
        <v>#NUM!</v>
      </c>
      <c r="EN17" t="e">
        <f t="shared" si="86"/>
        <v>#NUM!</v>
      </c>
      <c r="EO17" t="e">
        <f t="shared" si="87"/>
        <v>#NUM!</v>
      </c>
      <c r="EP17" t="e">
        <f t="shared" si="88"/>
        <v>#NUM!</v>
      </c>
      <c r="EQ17" t="e">
        <f t="shared" si="89"/>
        <v>#NUM!</v>
      </c>
      <c r="ER17" t="e">
        <f t="shared" si="90"/>
        <v>#NUM!</v>
      </c>
      <c r="ES17" t="e">
        <f t="shared" si="91"/>
        <v>#NUM!</v>
      </c>
      <c r="ET17" t="e">
        <f t="shared" si="92"/>
        <v>#NUM!</v>
      </c>
      <c r="EU17" t="e">
        <f t="shared" si="93"/>
        <v>#NUM!</v>
      </c>
      <c r="EV17" t="e">
        <f t="shared" si="94"/>
        <v>#NUM!</v>
      </c>
      <c r="EW17" t="e">
        <f t="shared" si="95"/>
        <v>#NUM!</v>
      </c>
      <c r="EX17" t="e">
        <f t="shared" si="96"/>
        <v>#NUM!</v>
      </c>
      <c r="EY17" t="e">
        <f t="shared" si="97"/>
        <v>#NUM!</v>
      </c>
    </row>
    <row r="18" spans="1:155" x14ac:dyDescent="0.25">
      <c r="A18" s="16">
        <f t="shared" si="98"/>
        <v>17</v>
      </c>
      <c r="B18" t="s">
        <v>29</v>
      </c>
      <c r="C18" s="13">
        <v>2214.7333333333331</v>
      </c>
      <c r="D18" s="13">
        <v>2214.7333333333331</v>
      </c>
      <c r="E18" s="13">
        <v>799.66666666666663</v>
      </c>
      <c r="F18" s="13">
        <v>820.7833333333333</v>
      </c>
      <c r="G18" s="13">
        <v>654.1</v>
      </c>
      <c r="H18" s="13">
        <v>661.23333333333335</v>
      </c>
      <c r="I18" s="13">
        <v>341.98333333333335</v>
      </c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B18" s="15">
        <v>0</v>
      </c>
      <c r="BC18" s="15">
        <v>0</v>
      </c>
      <c r="BD18" s="15">
        <f t="shared" ref="BD18:CY18" si="114">IF(E18&lt;&gt;"",IF(E18=DD$3,25,IF(E18=DD$4,24,IF(E18=DD$5,23,IF(E18=DD$6,22,IF(E18=DD$6,22,IF(E18=DD$7,21,IF(E18=DD$8,20,IF(E18=DD$9,19,IF(E18=DD$10,18,IF(E18=DD$11,17,0)))))))))),0)+BC18</f>
        <v>0</v>
      </c>
      <c r="BE18" s="15">
        <f t="shared" si="114"/>
        <v>0</v>
      </c>
      <c r="BF18" s="15">
        <f t="shared" si="114"/>
        <v>0</v>
      </c>
      <c r="BG18" s="15">
        <f t="shared" si="114"/>
        <v>0</v>
      </c>
      <c r="BH18" s="15">
        <f t="shared" si="114"/>
        <v>17</v>
      </c>
      <c r="BI18" s="15">
        <f t="shared" si="114"/>
        <v>17</v>
      </c>
      <c r="BJ18" s="15">
        <f t="shared" si="114"/>
        <v>17</v>
      </c>
      <c r="BK18" s="15">
        <f t="shared" si="114"/>
        <v>17</v>
      </c>
      <c r="BL18" s="15">
        <f t="shared" si="114"/>
        <v>17</v>
      </c>
      <c r="BM18" s="15">
        <f t="shared" si="114"/>
        <v>17</v>
      </c>
      <c r="BN18" s="15">
        <f t="shared" si="114"/>
        <v>17</v>
      </c>
      <c r="BO18" s="15">
        <f t="shared" si="114"/>
        <v>17</v>
      </c>
      <c r="BP18" s="15">
        <f t="shared" si="114"/>
        <v>17</v>
      </c>
      <c r="BQ18" s="15">
        <f t="shared" si="114"/>
        <v>17</v>
      </c>
      <c r="BR18" s="15">
        <f t="shared" si="114"/>
        <v>17</v>
      </c>
      <c r="BS18" s="15">
        <f t="shared" si="114"/>
        <v>17</v>
      </c>
      <c r="BT18" s="15">
        <f t="shared" si="114"/>
        <v>17</v>
      </c>
      <c r="BU18" s="15">
        <f t="shared" si="114"/>
        <v>17</v>
      </c>
      <c r="BV18" s="15">
        <f t="shared" si="114"/>
        <v>17</v>
      </c>
      <c r="BW18" s="15">
        <f t="shared" si="114"/>
        <v>17</v>
      </c>
      <c r="BX18" s="15">
        <f t="shared" si="114"/>
        <v>17</v>
      </c>
      <c r="BY18" s="15">
        <f t="shared" si="114"/>
        <v>17</v>
      </c>
      <c r="BZ18" s="15">
        <f t="shared" si="114"/>
        <v>17</v>
      </c>
      <c r="CA18" s="15">
        <f t="shared" si="114"/>
        <v>17</v>
      </c>
      <c r="CB18" s="15">
        <f t="shared" si="114"/>
        <v>17</v>
      </c>
      <c r="CC18" s="15">
        <f t="shared" si="114"/>
        <v>17</v>
      </c>
      <c r="CD18" s="15">
        <f t="shared" si="114"/>
        <v>17</v>
      </c>
      <c r="CE18" s="15">
        <f t="shared" si="114"/>
        <v>17</v>
      </c>
      <c r="CF18" s="15">
        <f t="shared" si="114"/>
        <v>17</v>
      </c>
      <c r="CG18" s="15">
        <f t="shared" si="114"/>
        <v>17</v>
      </c>
      <c r="CH18" s="15">
        <f t="shared" si="114"/>
        <v>17</v>
      </c>
      <c r="CI18" s="15">
        <f t="shared" si="114"/>
        <v>17</v>
      </c>
      <c r="CJ18" s="15">
        <f t="shared" si="114"/>
        <v>17</v>
      </c>
      <c r="CK18" s="15">
        <f t="shared" si="114"/>
        <v>17</v>
      </c>
      <c r="CL18" s="15">
        <f t="shared" si="114"/>
        <v>17</v>
      </c>
      <c r="CM18" s="15">
        <f t="shared" si="114"/>
        <v>17</v>
      </c>
      <c r="CN18" s="15">
        <f t="shared" si="114"/>
        <v>17</v>
      </c>
      <c r="CO18" s="15">
        <f t="shared" si="114"/>
        <v>17</v>
      </c>
      <c r="CP18" s="15">
        <f t="shared" si="114"/>
        <v>17</v>
      </c>
      <c r="CQ18" s="15">
        <f t="shared" si="114"/>
        <v>17</v>
      </c>
      <c r="CR18" s="15">
        <f t="shared" si="114"/>
        <v>17</v>
      </c>
      <c r="CS18" s="15">
        <f t="shared" si="114"/>
        <v>17</v>
      </c>
      <c r="CT18" s="15">
        <f t="shared" si="114"/>
        <v>17</v>
      </c>
      <c r="CU18" s="15">
        <f t="shared" si="114"/>
        <v>17</v>
      </c>
      <c r="CV18" s="15">
        <f t="shared" si="114"/>
        <v>17</v>
      </c>
      <c r="CW18" s="15">
        <f t="shared" si="114"/>
        <v>17</v>
      </c>
      <c r="CX18" s="15">
        <f t="shared" si="114"/>
        <v>17</v>
      </c>
      <c r="CY18" s="15">
        <f t="shared" si="114"/>
        <v>17</v>
      </c>
    </row>
    <row r="19" spans="1:155" x14ac:dyDescent="0.25">
      <c r="A19" s="16">
        <f t="shared" si="98"/>
        <v>0</v>
      </c>
      <c r="B19" t="s">
        <v>30</v>
      </c>
      <c r="C19" s="13">
        <v>16318.916666666666</v>
      </c>
      <c r="D19" s="13">
        <v>16318.916666666666</v>
      </c>
      <c r="E19" s="13">
        <v>14907.2</v>
      </c>
      <c r="F19" s="13">
        <v>14907.2</v>
      </c>
      <c r="G19" s="13">
        <v>13938.616666666667</v>
      </c>
      <c r="H19" s="13">
        <v>13946.683333333332</v>
      </c>
      <c r="I19" s="13">
        <v>13301.766666666666</v>
      </c>
      <c r="J19" s="13">
        <v>13311.283333333333</v>
      </c>
      <c r="K19" s="13">
        <v>11918.466666666667</v>
      </c>
      <c r="L19" s="13">
        <v>11920.25</v>
      </c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B19" s="15">
        <v>0</v>
      </c>
      <c r="BC19" s="15">
        <v>0</v>
      </c>
      <c r="BD19" s="15">
        <f t="shared" ref="BD19:CY19" si="115">IF(E19&lt;&gt;"",IF(E19=DD$3,25,IF(E19=DD$4,24,IF(E19=DD$5,23,IF(E19=DD$6,22,IF(E19=DD$6,22,IF(E19=DD$7,21,IF(E19=DD$8,20,IF(E19=DD$9,19,IF(E19=DD$10,18,IF(E19=DD$11,17,0)))))))))),0)+BC19</f>
        <v>0</v>
      </c>
      <c r="BE19" s="15">
        <f t="shared" si="115"/>
        <v>0</v>
      </c>
      <c r="BF19" s="15">
        <f t="shared" si="115"/>
        <v>0</v>
      </c>
      <c r="BG19" s="15">
        <f t="shared" si="115"/>
        <v>0</v>
      </c>
      <c r="BH19" s="15">
        <f t="shared" si="115"/>
        <v>0</v>
      </c>
      <c r="BI19" s="15">
        <f t="shared" si="115"/>
        <v>0</v>
      </c>
      <c r="BJ19" s="15">
        <f t="shared" si="115"/>
        <v>0</v>
      </c>
      <c r="BK19" s="15">
        <f t="shared" si="115"/>
        <v>0</v>
      </c>
      <c r="BL19" s="15">
        <f t="shared" si="115"/>
        <v>0</v>
      </c>
      <c r="BM19" s="15">
        <f t="shared" si="115"/>
        <v>0</v>
      </c>
      <c r="BN19" s="15">
        <f t="shared" si="115"/>
        <v>0</v>
      </c>
      <c r="BO19" s="15">
        <f t="shared" si="115"/>
        <v>0</v>
      </c>
      <c r="BP19" s="15">
        <f t="shared" si="115"/>
        <v>0</v>
      </c>
      <c r="BQ19" s="15">
        <f t="shared" si="115"/>
        <v>0</v>
      </c>
      <c r="BR19" s="15">
        <f t="shared" si="115"/>
        <v>0</v>
      </c>
      <c r="BS19" s="15">
        <f t="shared" si="115"/>
        <v>0</v>
      </c>
      <c r="BT19" s="15">
        <f t="shared" si="115"/>
        <v>0</v>
      </c>
      <c r="BU19" s="15">
        <f t="shared" si="115"/>
        <v>0</v>
      </c>
      <c r="BV19" s="15">
        <f t="shared" si="115"/>
        <v>0</v>
      </c>
      <c r="BW19" s="15">
        <f t="shared" si="115"/>
        <v>0</v>
      </c>
      <c r="BX19" s="15">
        <f t="shared" si="115"/>
        <v>0</v>
      </c>
      <c r="BY19" s="15">
        <f t="shared" si="115"/>
        <v>0</v>
      </c>
      <c r="BZ19" s="15">
        <f t="shared" si="115"/>
        <v>0</v>
      </c>
      <c r="CA19" s="15">
        <f t="shared" si="115"/>
        <v>0</v>
      </c>
      <c r="CB19" s="15">
        <f t="shared" si="115"/>
        <v>0</v>
      </c>
      <c r="CC19" s="15">
        <f t="shared" si="115"/>
        <v>0</v>
      </c>
      <c r="CD19" s="15">
        <f t="shared" si="115"/>
        <v>0</v>
      </c>
      <c r="CE19" s="15">
        <f t="shared" si="115"/>
        <v>0</v>
      </c>
      <c r="CF19" s="15">
        <f t="shared" si="115"/>
        <v>0</v>
      </c>
      <c r="CG19" s="15">
        <f t="shared" si="115"/>
        <v>0</v>
      </c>
      <c r="CH19" s="15">
        <f t="shared" si="115"/>
        <v>0</v>
      </c>
      <c r="CI19" s="15">
        <f t="shared" si="115"/>
        <v>0</v>
      </c>
      <c r="CJ19" s="15">
        <f t="shared" si="115"/>
        <v>0</v>
      </c>
      <c r="CK19" s="15">
        <f t="shared" si="115"/>
        <v>0</v>
      </c>
      <c r="CL19" s="15">
        <f t="shared" si="115"/>
        <v>0</v>
      </c>
      <c r="CM19" s="15">
        <f t="shared" si="115"/>
        <v>0</v>
      </c>
      <c r="CN19" s="15">
        <f t="shared" si="115"/>
        <v>0</v>
      </c>
      <c r="CO19" s="15">
        <f t="shared" si="115"/>
        <v>0</v>
      </c>
      <c r="CP19" s="15">
        <f t="shared" si="115"/>
        <v>0</v>
      </c>
      <c r="CQ19" s="15">
        <f t="shared" si="115"/>
        <v>0</v>
      </c>
      <c r="CR19" s="15">
        <f t="shared" si="115"/>
        <v>0</v>
      </c>
      <c r="CS19" s="15">
        <f t="shared" si="115"/>
        <v>0</v>
      </c>
      <c r="CT19" s="15">
        <f t="shared" si="115"/>
        <v>0</v>
      </c>
      <c r="CU19" s="15">
        <f t="shared" si="115"/>
        <v>0</v>
      </c>
      <c r="CV19" s="15">
        <f t="shared" si="115"/>
        <v>0</v>
      </c>
      <c r="CW19" s="15">
        <f t="shared" si="115"/>
        <v>0</v>
      </c>
      <c r="CX19" s="15">
        <f t="shared" si="115"/>
        <v>0</v>
      </c>
      <c r="CY19" s="15">
        <f t="shared" si="115"/>
        <v>0</v>
      </c>
    </row>
    <row r="20" spans="1:155" x14ac:dyDescent="0.25">
      <c r="A20" s="16">
        <f t="shared" si="98"/>
        <v>356</v>
      </c>
      <c r="B20" t="s">
        <v>31</v>
      </c>
      <c r="C20" s="13">
        <v>8.4666666666666668</v>
      </c>
      <c r="D20" s="13">
        <v>9.4166666666666661</v>
      </c>
      <c r="E20" s="13">
        <v>817.66666666666663</v>
      </c>
      <c r="F20" s="13">
        <v>828.51666666666665</v>
      </c>
      <c r="G20" s="13">
        <v>766.66666666666663</v>
      </c>
      <c r="H20" s="13">
        <v>791.16666666666663</v>
      </c>
      <c r="I20" s="13">
        <v>790.68333333333328</v>
      </c>
      <c r="J20" s="13">
        <v>831.6</v>
      </c>
      <c r="K20" s="13">
        <v>24.966666666666665</v>
      </c>
      <c r="L20" s="13">
        <v>29.766666666666666</v>
      </c>
      <c r="M20" s="13">
        <v>5.2666666666666666</v>
      </c>
      <c r="N20" s="13">
        <v>45.25</v>
      </c>
      <c r="O20" s="13">
        <v>810.36666666666667</v>
      </c>
      <c r="P20" s="13">
        <v>830.65</v>
      </c>
      <c r="Q20" s="13">
        <v>789.81666666666672</v>
      </c>
      <c r="R20" s="13">
        <v>806.2166666666667</v>
      </c>
      <c r="S20" s="13">
        <v>767.43333333333328</v>
      </c>
      <c r="T20" s="13">
        <v>783.83333333333337</v>
      </c>
      <c r="U20" s="13">
        <v>701.41666666666663</v>
      </c>
      <c r="V20" s="13">
        <v>787.18333333333328</v>
      </c>
      <c r="W20" s="13">
        <v>745.43333333333328</v>
      </c>
      <c r="X20" s="13">
        <v>745.43333333333328</v>
      </c>
      <c r="Y20" s="13">
        <v>29.033333333333335</v>
      </c>
      <c r="Z20" s="13">
        <v>29.033333333333335</v>
      </c>
      <c r="AA20" s="13">
        <v>19.2</v>
      </c>
      <c r="AB20" s="13">
        <v>183.43333333333334</v>
      </c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B20" s="15">
        <v>0</v>
      </c>
      <c r="BC20" s="15">
        <v>0</v>
      </c>
      <c r="BD20" s="15">
        <f t="shared" ref="BD20:CY20" si="116">IF(E20&lt;&gt;"",IF(E20=DD$3,25,IF(E20=DD$4,24,IF(E20=DD$5,23,IF(E20=DD$6,22,IF(E20=DD$6,22,IF(E20=DD$7,21,IF(E20=DD$8,20,IF(E20=DD$9,19,IF(E20=DD$10,18,IF(E20=DD$11,17,0)))))))))),0)+BC20</f>
        <v>0</v>
      </c>
      <c r="BE20" s="15">
        <f t="shared" si="116"/>
        <v>0</v>
      </c>
      <c r="BF20" s="15">
        <f t="shared" si="116"/>
        <v>0</v>
      </c>
      <c r="BG20" s="15">
        <f t="shared" si="116"/>
        <v>0</v>
      </c>
      <c r="BH20" s="15">
        <f t="shared" si="116"/>
        <v>0</v>
      </c>
      <c r="BI20" s="15">
        <f t="shared" si="116"/>
        <v>0</v>
      </c>
      <c r="BJ20" s="15">
        <f t="shared" si="116"/>
        <v>24</v>
      </c>
      <c r="BK20" s="15">
        <f t="shared" si="116"/>
        <v>48</v>
      </c>
      <c r="BL20" s="15">
        <f t="shared" si="116"/>
        <v>73</v>
      </c>
      <c r="BM20" s="15">
        <f t="shared" si="116"/>
        <v>97</v>
      </c>
      <c r="BN20" s="15">
        <f t="shared" si="116"/>
        <v>116</v>
      </c>
      <c r="BO20" s="15">
        <f t="shared" si="116"/>
        <v>136</v>
      </c>
      <c r="BP20" s="15">
        <f t="shared" si="116"/>
        <v>136</v>
      </c>
      <c r="BQ20" s="15">
        <f t="shared" si="116"/>
        <v>153</v>
      </c>
      <c r="BR20" s="15">
        <f t="shared" si="116"/>
        <v>172</v>
      </c>
      <c r="BS20" s="15">
        <f t="shared" si="116"/>
        <v>191</v>
      </c>
      <c r="BT20" s="15">
        <f t="shared" si="116"/>
        <v>208</v>
      </c>
      <c r="BU20" s="15">
        <f t="shared" si="116"/>
        <v>227</v>
      </c>
      <c r="BV20" s="15">
        <f t="shared" si="116"/>
        <v>245</v>
      </c>
      <c r="BW20" s="15">
        <f t="shared" si="116"/>
        <v>264</v>
      </c>
      <c r="BX20" s="15">
        <f t="shared" si="116"/>
        <v>286</v>
      </c>
      <c r="BY20" s="15">
        <f t="shared" si="116"/>
        <v>310</v>
      </c>
      <c r="BZ20" s="15">
        <f t="shared" si="116"/>
        <v>332</v>
      </c>
      <c r="CA20" s="15">
        <f t="shared" si="116"/>
        <v>356</v>
      </c>
      <c r="CB20" s="15">
        <f t="shared" si="116"/>
        <v>356</v>
      </c>
      <c r="CC20" s="15">
        <f t="shared" si="116"/>
        <v>356</v>
      </c>
      <c r="CD20" s="15">
        <f t="shared" si="116"/>
        <v>356</v>
      </c>
      <c r="CE20" s="15">
        <f t="shared" si="116"/>
        <v>356</v>
      </c>
      <c r="CF20" s="15">
        <f t="shared" si="116"/>
        <v>356</v>
      </c>
      <c r="CG20" s="15">
        <f t="shared" si="116"/>
        <v>356</v>
      </c>
      <c r="CH20" s="15">
        <f t="shared" si="116"/>
        <v>356</v>
      </c>
      <c r="CI20" s="15">
        <f t="shared" si="116"/>
        <v>356</v>
      </c>
      <c r="CJ20" s="15">
        <f t="shared" si="116"/>
        <v>356</v>
      </c>
      <c r="CK20" s="15">
        <f t="shared" si="116"/>
        <v>356</v>
      </c>
      <c r="CL20" s="15">
        <f t="shared" si="116"/>
        <v>356</v>
      </c>
      <c r="CM20" s="15">
        <f t="shared" si="116"/>
        <v>356</v>
      </c>
      <c r="CN20" s="15">
        <f t="shared" si="116"/>
        <v>356</v>
      </c>
      <c r="CO20" s="15">
        <f t="shared" si="116"/>
        <v>356</v>
      </c>
      <c r="CP20" s="15">
        <f t="shared" si="116"/>
        <v>356</v>
      </c>
      <c r="CQ20" s="15">
        <f t="shared" si="116"/>
        <v>356</v>
      </c>
      <c r="CR20" s="15">
        <f t="shared" si="116"/>
        <v>356</v>
      </c>
      <c r="CS20" s="15">
        <f t="shared" si="116"/>
        <v>356</v>
      </c>
      <c r="CT20" s="15">
        <f t="shared" si="116"/>
        <v>356</v>
      </c>
      <c r="CU20" s="15">
        <f t="shared" si="116"/>
        <v>356</v>
      </c>
      <c r="CV20" s="15">
        <f t="shared" si="116"/>
        <v>356</v>
      </c>
      <c r="CW20" s="15">
        <f t="shared" si="116"/>
        <v>356</v>
      </c>
      <c r="CX20" s="15">
        <f t="shared" si="116"/>
        <v>356</v>
      </c>
      <c r="CY20" s="15">
        <f t="shared" si="116"/>
        <v>356</v>
      </c>
    </row>
    <row r="21" spans="1:155" x14ac:dyDescent="0.25">
      <c r="A21" s="16">
        <f t="shared" si="98"/>
        <v>164</v>
      </c>
      <c r="B21" t="s">
        <v>32</v>
      </c>
      <c r="C21" s="13">
        <v>14687.683333333332</v>
      </c>
      <c r="D21" s="13">
        <v>14687.683333333332</v>
      </c>
      <c r="E21" s="13">
        <v>15449.066666666668</v>
      </c>
      <c r="F21" s="13">
        <v>15449.216666666667</v>
      </c>
      <c r="G21" s="13">
        <v>11808.7</v>
      </c>
      <c r="H21" s="13">
        <v>16130.4</v>
      </c>
      <c r="I21" s="13"/>
      <c r="J21" s="13"/>
      <c r="K21" s="13"/>
      <c r="L21" s="13"/>
      <c r="M21" s="13"/>
      <c r="N21" s="13"/>
      <c r="O21" s="13"/>
      <c r="P21" s="13"/>
      <c r="Q21" s="13">
        <v>8931.3333333333339</v>
      </c>
      <c r="R21" s="13">
        <v>8931.5166666666664</v>
      </c>
      <c r="S21" s="13">
        <v>7489.25</v>
      </c>
      <c r="T21" s="13">
        <v>7489.45</v>
      </c>
      <c r="U21" s="13">
        <v>1739.9166666666667</v>
      </c>
      <c r="V21" s="13">
        <v>1740.0333333333333</v>
      </c>
      <c r="W21" s="13">
        <v>276.55</v>
      </c>
      <c r="X21" s="13">
        <v>276.55</v>
      </c>
      <c r="Y21" s="13">
        <v>304.55</v>
      </c>
      <c r="Z21" s="13">
        <v>304.55</v>
      </c>
      <c r="AA21" s="13">
        <v>253.36666666666667</v>
      </c>
      <c r="AB21" s="13">
        <v>253.53333333333333</v>
      </c>
      <c r="AC21" s="13">
        <v>254.08333333333334</v>
      </c>
      <c r="AD21" s="13">
        <v>254.38333333333333</v>
      </c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B21" s="15">
        <v>0</v>
      </c>
      <c r="BC21" s="15">
        <v>0</v>
      </c>
      <c r="BD21" s="15">
        <f t="shared" ref="BD21:CY21" si="117">IF(E21&lt;&gt;"",IF(E21=DD$3,25,IF(E21=DD$4,24,IF(E21=DD$5,23,IF(E21=DD$6,22,IF(E21=DD$6,22,IF(E21=DD$7,21,IF(E21=DD$8,20,IF(E21=DD$9,19,IF(E21=DD$10,18,IF(E21=DD$11,17,0)))))))))),0)+BC21</f>
        <v>0</v>
      </c>
      <c r="BE21" s="15">
        <f t="shared" si="117"/>
        <v>0</v>
      </c>
      <c r="BF21" s="15">
        <f t="shared" si="117"/>
        <v>0</v>
      </c>
      <c r="BG21" s="15">
        <f t="shared" si="117"/>
        <v>0</v>
      </c>
      <c r="BH21" s="15">
        <f t="shared" si="117"/>
        <v>0</v>
      </c>
      <c r="BI21" s="15">
        <f t="shared" si="117"/>
        <v>0</v>
      </c>
      <c r="BJ21" s="15">
        <f t="shared" si="117"/>
        <v>0</v>
      </c>
      <c r="BK21" s="15">
        <f t="shared" si="117"/>
        <v>0</v>
      </c>
      <c r="BL21" s="15">
        <f t="shared" si="117"/>
        <v>0</v>
      </c>
      <c r="BM21" s="15">
        <f t="shared" si="117"/>
        <v>0</v>
      </c>
      <c r="BN21" s="15">
        <f t="shared" si="117"/>
        <v>0</v>
      </c>
      <c r="BO21" s="15">
        <f t="shared" si="117"/>
        <v>0</v>
      </c>
      <c r="BP21" s="15">
        <f t="shared" si="117"/>
        <v>0</v>
      </c>
      <c r="BQ21" s="15">
        <f t="shared" si="117"/>
        <v>0</v>
      </c>
      <c r="BR21" s="15">
        <f t="shared" si="117"/>
        <v>0</v>
      </c>
      <c r="BS21" s="15">
        <f t="shared" si="117"/>
        <v>0</v>
      </c>
      <c r="BT21" s="15">
        <f t="shared" si="117"/>
        <v>0</v>
      </c>
      <c r="BU21" s="15">
        <f t="shared" si="117"/>
        <v>0</v>
      </c>
      <c r="BV21" s="15">
        <f t="shared" si="117"/>
        <v>20</v>
      </c>
      <c r="BW21" s="15">
        <f t="shared" si="117"/>
        <v>40</v>
      </c>
      <c r="BX21" s="15">
        <f t="shared" si="117"/>
        <v>60</v>
      </c>
      <c r="BY21" s="15">
        <f t="shared" si="117"/>
        <v>81</v>
      </c>
      <c r="BZ21" s="15">
        <f t="shared" si="117"/>
        <v>99</v>
      </c>
      <c r="CA21" s="15">
        <f t="shared" si="117"/>
        <v>122</v>
      </c>
      <c r="CB21" s="15">
        <f t="shared" si="117"/>
        <v>142</v>
      </c>
      <c r="CC21" s="15">
        <f t="shared" si="117"/>
        <v>164</v>
      </c>
      <c r="CD21" s="15">
        <f t="shared" si="117"/>
        <v>164</v>
      </c>
      <c r="CE21" s="15">
        <f t="shared" si="117"/>
        <v>164</v>
      </c>
      <c r="CF21" s="15">
        <f t="shared" si="117"/>
        <v>164</v>
      </c>
      <c r="CG21" s="15">
        <f t="shared" si="117"/>
        <v>164</v>
      </c>
      <c r="CH21" s="15">
        <f t="shared" si="117"/>
        <v>164</v>
      </c>
      <c r="CI21" s="15">
        <f t="shared" si="117"/>
        <v>164</v>
      </c>
      <c r="CJ21" s="15">
        <f t="shared" si="117"/>
        <v>164</v>
      </c>
      <c r="CK21" s="15">
        <f t="shared" si="117"/>
        <v>164</v>
      </c>
      <c r="CL21" s="15">
        <f t="shared" si="117"/>
        <v>164</v>
      </c>
      <c r="CM21" s="15">
        <f t="shared" si="117"/>
        <v>164</v>
      </c>
      <c r="CN21" s="15">
        <f t="shared" si="117"/>
        <v>164</v>
      </c>
      <c r="CO21" s="15">
        <f t="shared" si="117"/>
        <v>164</v>
      </c>
      <c r="CP21" s="15">
        <f t="shared" si="117"/>
        <v>164</v>
      </c>
      <c r="CQ21" s="15">
        <f t="shared" si="117"/>
        <v>164</v>
      </c>
      <c r="CR21" s="15">
        <f t="shared" si="117"/>
        <v>164</v>
      </c>
      <c r="CS21" s="15">
        <f t="shared" si="117"/>
        <v>164</v>
      </c>
      <c r="CT21" s="15">
        <f t="shared" si="117"/>
        <v>164</v>
      </c>
      <c r="CU21" s="15">
        <f t="shared" si="117"/>
        <v>164</v>
      </c>
      <c r="CV21" s="15">
        <f t="shared" si="117"/>
        <v>164</v>
      </c>
      <c r="CW21" s="15">
        <f t="shared" si="117"/>
        <v>164</v>
      </c>
      <c r="CX21" s="15">
        <f t="shared" si="117"/>
        <v>164</v>
      </c>
      <c r="CY21" s="15">
        <f t="shared" si="117"/>
        <v>164</v>
      </c>
    </row>
    <row r="22" spans="1:155" x14ac:dyDescent="0.25">
      <c r="A22" s="16">
        <f t="shared" si="98"/>
        <v>56</v>
      </c>
      <c r="B22" t="s">
        <v>33</v>
      </c>
      <c r="C22" s="13">
        <v>2456.2166666666667</v>
      </c>
      <c r="D22" s="13">
        <v>2477.8166666666666</v>
      </c>
      <c r="E22" s="13">
        <v>1591.25</v>
      </c>
      <c r="F22" s="13">
        <v>1591.25</v>
      </c>
      <c r="G22" s="13">
        <v>895.2833333333333</v>
      </c>
      <c r="H22" s="13">
        <v>933.31666666666672</v>
      </c>
      <c r="I22" s="13">
        <v>462.45</v>
      </c>
      <c r="J22" s="13">
        <v>985.01666666666665</v>
      </c>
      <c r="K22" s="13">
        <v>603.08333333333337</v>
      </c>
      <c r="L22" s="13">
        <v>724.7</v>
      </c>
      <c r="M22" s="13">
        <v>213.9</v>
      </c>
      <c r="N22" s="13">
        <v>379.98333333333335</v>
      </c>
      <c r="O22" s="13">
        <v>1004.7166666666667</v>
      </c>
      <c r="P22" s="13">
        <v>2137.0833333333335</v>
      </c>
      <c r="Q22" s="13">
        <v>1071.9166666666667</v>
      </c>
      <c r="R22" s="13">
        <v>2343.4499999999998</v>
      </c>
      <c r="S22" s="13">
        <v>1023.8666666666667</v>
      </c>
      <c r="T22" s="13">
        <v>1607.4666666666667</v>
      </c>
      <c r="U22" s="13">
        <v>409.13333333333333</v>
      </c>
      <c r="V22" s="13">
        <v>1180.3499999999999</v>
      </c>
      <c r="W22" s="13">
        <v>2395.4833333333331</v>
      </c>
      <c r="X22" s="13">
        <v>2445.9333333333334</v>
      </c>
      <c r="Y22" s="13">
        <v>1193.2166666666667</v>
      </c>
      <c r="Z22" s="13">
        <v>2337.3000000000002</v>
      </c>
      <c r="AA22" s="13">
        <v>995.11666666666667</v>
      </c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B22" s="15">
        <v>0</v>
      </c>
      <c r="BC22" s="15">
        <v>0</v>
      </c>
      <c r="BD22" s="15">
        <f t="shared" ref="BD22:CY22" si="118">IF(E22&lt;&gt;"",IF(E22=DD$3,25,IF(E22=DD$4,24,IF(E22=DD$5,23,IF(E22=DD$6,22,IF(E22=DD$6,22,IF(E22=DD$7,21,IF(E22=DD$8,20,IF(E22=DD$9,19,IF(E22=DD$10,18,IF(E22=DD$11,17,0)))))))))),0)+BC22</f>
        <v>0</v>
      </c>
      <c r="BE22" s="15">
        <f t="shared" si="118"/>
        <v>0</v>
      </c>
      <c r="BF22" s="15">
        <f t="shared" si="118"/>
        <v>0</v>
      </c>
      <c r="BG22" s="15">
        <f t="shared" si="118"/>
        <v>0</v>
      </c>
      <c r="BH22" s="15">
        <f t="shared" si="118"/>
        <v>0</v>
      </c>
      <c r="BI22" s="15">
        <f t="shared" si="118"/>
        <v>0</v>
      </c>
      <c r="BJ22" s="15">
        <f t="shared" si="118"/>
        <v>0</v>
      </c>
      <c r="BK22" s="15">
        <f t="shared" si="118"/>
        <v>0</v>
      </c>
      <c r="BL22" s="15">
        <f t="shared" si="118"/>
        <v>20</v>
      </c>
      <c r="BM22" s="15">
        <f t="shared" si="118"/>
        <v>38</v>
      </c>
      <c r="BN22" s="15">
        <f t="shared" si="118"/>
        <v>38</v>
      </c>
      <c r="BO22" s="15">
        <f t="shared" si="118"/>
        <v>38</v>
      </c>
      <c r="BP22" s="15">
        <f t="shared" si="118"/>
        <v>38</v>
      </c>
      <c r="BQ22" s="15">
        <f t="shared" si="118"/>
        <v>38</v>
      </c>
      <c r="BR22" s="15">
        <f t="shared" si="118"/>
        <v>38</v>
      </c>
      <c r="BS22" s="15">
        <f t="shared" si="118"/>
        <v>38</v>
      </c>
      <c r="BT22" s="15">
        <f t="shared" si="118"/>
        <v>56</v>
      </c>
      <c r="BU22" s="15">
        <f t="shared" si="118"/>
        <v>56</v>
      </c>
      <c r="BV22" s="15">
        <f t="shared" si="118"/>
        <v>56</v>
      </c>
      <c r="BW22" s="15">
        <f t="shared" si="118"/>
        <v>56</v>
      </c>
      <c r="BX22" s="15">
        <f t="shared" si="118"/>
        <v>56</v>
      </c>
      <c r="BY22" s="15">
        <f t="shared" si="118"/>
        <v>56</v>
      </c>
      <c r="BZ22" s="15">
        <f t="shared" si="118"/>
        <v>56</v>
      </c>
      <c r="CA22" s="15">
        <f t="shared" si="118"/>
        <v>56</v>
      </c>
      <c r="CB22" s="15">
        <f t="shared" si="118"/>
        <v>56</v>
      </c>
      <c r="CC22" s="15">
        <f t="shared" si="118"/>
        <v>56</v>
      </c>
      <c r="CD22" s="15">
        <f t="shared" si="118"/>
        <v>56</v>
      </c>
      <c r="CE22" s="15">
        <f t="shared" si="118"/>
        <v>56</v>
      </c>
      <c r="CF22" s="15">
        <f t="shared" si="118"/>
        <v>56</v>
      </c>
      <c r="CG22" s="15">
        <f t="shared" si="118"/>
        <v>56</v>
      </c>
      <c r="CH22" s="15">
        <f t="shared" si="118"/>
        <v>56</v>
      </c>
      <c r="CI22" s="15">
        <f t="shared" si="118"/>
        <v>56</v>
      </c>
      <c r="CJ22" s="15">
        <f t="shared" si="118"/>
        <v>56</v>
      </c>
      <c r="CK22" s="15">
        <f t="shared" si="118"/>
        <v>56</v>
      </c>
      <c r="CL22" s="15">
        <f t="shared" si="118"/>
        <v>56</v>
      </c>
      <c r="CM22" s="15">
        <f t="shared" si="118"/>
        <v>56</v>
      </c>
      <c r="CN22" s="15">
        <f t="shared" si="118"/>
        <v>56</v>
      </c>
      <c r="CO22" s="15">
        <f t="shared" si="118"/>
        <v>56</v>
      </c>
      <c r="CP22" s="15">
        <f t="shared" si="118"/>
        <v>56</v>
      </c>
      <c r="CQ22" s="15">
        <f t="shared" si="118"/>
        <v>56</v>
      </c>
      <c r="CR22" s="15">
        <f t="shared" si="118"/>
        <v>56</v>
      </c>
      <c r="CS22" s="15">
        <f t="shared" si="118"/>
        <v>56</v>
      </c>
      <c r="CT22" s="15">
        <f t="shared" si="118"/>
        <v>56</v>
      </c>
      <c r="CU22" s="15">
        <f t="shared" si="118"/>
        <v>56</v>
      </c>
      <c r="CV22" s="15">
        <f t="shared" si="118"/>
        <v>56</v>
      </c>
      <c r="CW22" s="15">
        <f t="shared" si="118"/>
        <v>56</v>
      </c>
      <c r="CX22" s="15">
        <f t="shared" si="118"/>
        <v>56</v>
      </c>
      <c r="CY22" s="15">
        <f t="shared" si="118"/>
        <v>56</v>
      </c>
    </row>
    <row r="23" spans="1:155" x14ac:dyDescent="0.25">
      <c r="A23" s="16">
        <f t="shared" si="98"/>
        <v>0</v>
      </c>
      <c r="B23" t="s">
        <v>34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B23" s="15">
        <v>0</v>
      </c>
      <c r="BC23" s="15">
        <v>0</v>
      </c>
      <c r="BD23" s="15">
        <f t="shared" ref="BD23:CY23" si="119">IF(E23&lt;&gt;"",IF(E23=DD$3,25,IF(E23=DD$4,24,IF(E23=DD$5,23,IF(E23=DD$6,22,IF(E23=DD$6,22,IF(E23=DD$7,21,IF(E23=DD$8,20,IF(E23=DD$9,19,IF(E23=DD$10,18,IF(E23=DD$11,17,0)))))))))),0)+BC23</f>
        <v>0</v>
      </c>
      <c r="BE23" s="15">
        <f t="shared" si="119"/>
        <v>0</v>
      </c>
      <c r="BF23" s="15">
        <f t="shared" si="119"/>
        <v>0</v>
      </c>
      <c r="BG23" s="15">
        <f t="shared" si="119"/>
        <v>0</v>
      </c>
      <c r="BH23" s="15">
        <f t="shared" si="119"/>
        <v>0</v>
      </c>
      <c r="BI23" s="15">
        <f t="shared" si="119"/>
        <v>0</v>
      </c>
      <c r="BJ23" s="15">
        <f t="shared" si="119"/>
        <v>0</v>
      </c>
      <c r="BK23" s="15">
        <f t="shared" si="119"/>
        <v>0</v>
      </c>
      <c r="BL23" s="15">
        <f t="shared" si="119"/>
        <v>0</v>
      </c>
      <c r="BM23" s="15">
        <f t="shared" si="119"/>
        <v>0</v>
      </c>
      <c r="BN23" s="15">
        <f t="shared" si="119"/>
        <v>0</v>
      </c>
      <c r="BO23" s="15">
        <f t="shared" si="119"/>
        <v>0</v>
      </c>
      <c r="BP23" s="15">
        <f t="shared" si="119"/>
        <v>0</v>
      </c>
      <c r="BQ23" s="15">
        <f t="shared" si="119"/>
        <v>0</v>
      </c>
      <c r="BR23" s="15">
        <f t="shared" si="119"/>
        <v>0</v>
      </c>
      <c r="BS23" s="15">
        <f t="shared" si="119"/>
        <v>0</v>
      </c>
      <c r="BT23" s="15">
        <f t="shared" si="119"/>
        <v>0</v>
      </c>
      <c r="BU23" s="15">
        <f t="shared" si="119"/>
        <v>0</v>
      </c>
      <c r="BV23" s="15">
        <f t="shared" si="119"/>
        <v>0</v>
      </c>
      <c r="BW23" s="15">
        <f t="shared" si="119"/>
        <v>0</v>
      </c>
      <c r="BX23" s="15">
        <f t="shared" si="119"/>
        <v>0</v>
      </c>
      <c r="BY23" s="15">
        <f t="shared" si="119"/>
        <v>0</v>
      </c>
      <c r="BZ23" s="15">
        <f t="shared" si="119"/>
        <v>0</v>
      </c>
      <c r="CA23" s="15">
        <f t="shared" si="119"/>
        <v>0</v>
      </c>
      <c r="CB23" s="15">
        <f t="shared" si="119"/>
        <v>0</v>
      </c>
      <c r="CC23" s="15">
        <f t="shared" si="119"/>
        <v>0</v>
      </c>
      <c r="CD23" s="15">
        <f t="shared" si="119"/>
        <v>0</v>
      </c>
      <c r="CE23" s="15">
        <f t="shared" si="119"/>
        <v>0</v>
      </c>
      <c r="CF23" s="15">
        <f t="shared" si="119"/>
        <v>0</v>
      </c>
      <c r="CG23" s="15">
        <f t="shared" si="119"/>
        <v>0</v>
      </c>
      <c r="CH23" s="15">
        <f t="shared" si="119"/>
        <v>0</v>
      </c>
      <c r="CI23" s="15">
        <f t="shared" si="119"/>
        <v>0</v>
      </c>
      <c r="CJ23" s="15">
        <f t="shared" si="119"/>
        <v>0</v>
      </c>
      <c r="CK23" s="15">
        <f t="shared" si="119"/>
        <v>0</v>
      </c>
      <c r="CL23" s="15">
        <f t="shared" si="119"/>
        <v>0</v>
      </c>
      <c r="CM23" s="15">
        <f t="shared" si="119"/>
        <v>0</v>
      </c>
      <c r="CN23" s="15">
        <f t="shared" si="119"/>
        <v>0</v>
      </c>
      <c r="CO23" s="15">
        <f t="shared" si="119"/>
        <v>0</v>
      </c>
      <c r="CP23" s="15">
        <f t="shared" si="119"/>
        <v>0</v>
      </c>
      <c r="CQ23" s="15">
        <f t="shared" si="119"/>
        <v>0</v>
      </c>
      <c r="CR23" s="15">
        <f t="shared" si="119"/>
        <v>0</v>
      </c>
      <c r="CS23" s="15">
        <f t="shared" si="119"/>
        <v>0</v>
      </c>
      <c r="CT23" s="15">
        <f t="shared" si="119"/>
        <v>0</v>
      </c>
      <c r="CU23" s="15">
        <f t="shared" si="119"/>
        <v>0</v>
      </c>
      <c r="CV23" s="15">
        <f t="shared" si="119"/>
        <v>0</v>
      </c>
      <c r="CW23" s="15">
        <f t="shared" si="119"/>
        <v>0</v>
      </c>
      <c r="CX23" s="15">
        <f t="shared" si="119"/>
        <v>0</v>
      </c>
      <c r="CY23" s="15">
        <f t="shared" si="119"/>
        <v>0</v>
      </c>
    </row>
    <row r="24" spans="1:155" x14ac:dyDescent="0.25">
      <c r="A24" s="16">
        <f t="shared" si="98"/>
        <v>375</v>
      </c>
      <c r="B24" t="s">
        <v>35</v>
      </c>
      <c r="C24" s="13">
        <v>1792.6333333333334</v>
      </c>
      <c r="D24" s="13">
        <v>1792.6333333333334</v>
      </c>
      <c r="E24" s="13">
        <v>353.38333333333333</v>
      </c>
      <c r="F24" s="13">
        <v>353.38333333333333</v>
      </c>
      <c r="G24" s="13">
        <v>26.916666666666668</v>
      </c>
      <c r="H24" s="13">
        <v>27.166666666666668</v>
      </c>
      <c r="I24" s="13">
        <v>137.80000000000001</v>
      </c>
      <c r="J24" s="13">
        <v>138.19999999999999</v>
      </c>
      <c r="K24" s="13">
        <v>313.85000000000002</v>
      </c>
      <c r="L24" s="13">
        <v>314.46666666666664</v>
      </c>
      <c r="M24" s="13">
        <v>241.63333333333333</v>
      </c>
      <c r="N24" s="13">
        <v>241.8</v>
      </c>
      <c r="O24" s="13">
        <v>226.5</v>
      </c>
      <c r="P24" s="13">
        <v>226.71666666666667</v>
      </c>
      <c r="Q24" s="13">
        <v>157.65</v>
      </c>
      <c r="R24" s="13">
        <v>157.83333333333334</v>
      </c>
      <c r="S24" s="13">
        <v>37.299999999999997</v>
      </c>
      <c r="T24" s="13">
        <v>37.5</v>
      </c>
      <c r="U24" s="13">
        <v>84.933333333333337</v>
      </c>
      <c r="V24" s="13">
        <v>85.033333333333331</v>
      </c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B24" s="15">
        <v>0</v>
      </c>
      <c r="BC24" s="15">
        <v>0</v>
      </c>
      <c r="BD24" s="15">
        <f t="shared" ref="BD24:CY24" si="120">IF(E24&lt;&gt;"",IF(E24=DD$3,25,IF(E24=DD$4,24,IF(E24=DD$5,23,IF(E24=DD$6,22,IF(E24=DD$6,22,IF(E24=DD$7,21,IF(E24=DD$8,20,IF(E24=DD$9,19,IF(E24=DD$10,18,IF(E24=DD$11,17,0)))))))))),0)+BC24</f>
        <v>18</v>
      </c>
      <c r="BE24" s="15">
        <f t="shared" si="120"/>
        <v>36</v>
      </c>
      <c r="BF24" s="15">
        <f t="shared" si="120"/>
        <v>59</v>
      </c>
      <c r="BG24" s="15">
        <f t="shared" si="120"/>
        <v>84</v>
      </c>
      <c r="BH24" s="15">
        <f t="shared" si="120"/>
        <v>104</v>
      </c>
      <c r="BI24" s="15">
        <f t="shared" si="120"/>
        <v>127</v>
      </c>
      <c r="BJ24" s="15">
        <f t="shared" si="120"/>
        <v>144</v>
      </c>
      <c r="BK24" s="15">
        <f t="shared" si="120"/>
        <v>162</v>
      </c>
      <c r="BL24" s="15">
        <f t="shared" si="120"/>
        <v>181</v>
      </c>
      <c r="BM24" s="15">
        <f t="shared" si="120"/>
        <v>201</v>
      </c>
      <c r="BN24" s="15">
        <f t="shared" si="120"/>
        <v>223</v>
      </c>
      <c r="BO24" s="15">
        <f t="shared" si="120"/>
        <v>245</v>
      </c>
      <c r="BP24" s="15">
        <f t="shared" si="120"/>
        <v>264</v>
      </c>
      <c r="BQ24" s="15">
        <f t="shared" si="120"/>
        <v>284</v>
      </c>
      <c r="BR24" s="15">
        <f t="shared" si="120"/>
        <v>305</v>
      </c>
      <c r="BS24" s="15">
        <f t="shared" si="120"/>
        <v>329</v>
      </c>
      <c r="BT24" s="15">
        <f t="shared" si="120"/>
        <v>350</v>
      </c>
      <c r="BU24" s="15">
        <f t="shared" si="120"/>
        <v>375</v>
      </c>
      <c r="BV24" s="15">
        <f t="shared" si="120"/>
        <v>375</v>
      </c>
      <c r="BW24" s="15">
        <f t="shared" si="120"/>
        <v>375</v>
      </c>
      <c r="BX24" s="15">
        <f t="shared" si="120"/>
        <v>375</v>
      </c>
      <c r="BY24" s="15">
        <f t="shared" si="120"/>
        <v>375</v>
      </c>
      <c r="BZ24" s="15">
        <f t="shared" si="120"/>
        <v>375</v>
      </c>
      <c r="CA24" s="15">
        <f t="shared" si="120"/>
        <v>375</v>
      </c>
      <c r="CB24" s="15">
        <f t="shared" si="120"/>
        <v>375</v>
      </c>
      <c r="CC24" s="15">
        <f t="shared" si="120"/>
        <v>375</v>
      </c>
      <c r="CD24" s="15">
        <f t="shared" si="120"/>
        <v>375</v>
      </c>
      <c r="CE24" s="15">
        <f t="shared" si="120"/>
        <v>375</v>
      </c>
      <c r="CF24" s="15">
        <f t="shared" si="120"/>
        <v>375</v>
      </c>
      <c r="CG24" s="15">
        <f t="shared" si="120"/>
        <v>375</v>
      </c>
      <c r="CH24" s="15">
        <f t="shared" si="120"/>
        <v>375</v>
      </c>
      <c r="CI24" s="15">
        <f t="shared" si="120"/>
        <v>375</v>
      </c>
      <c r="CJ24" s="15">
        <f t="shared" si="120"/>
        <v>375</v>
      </c>
      <c r="CK24" s="15">
        <f t="shared" si="120"/>
        <v>375</v>
      </c>
      <c r="CL24" s="15">
        <f t="shared" si="120"/>
        <v>375</v>
      </c>
      <c r="CM24" s="15">
        <f t="shared" si="120"/>
        <v>375</v>
      </c>
      <c r="CN24" s="15">
        <f t="shared" si="120"/>
        <v>375</v>
      </c>
      <c r="CO24" s="15">
        <f t="shared" si="120"/>
        <v>375</v>
      </c>
      <c r="CP24" s="15">
        <f t="shared" si="120"/>
        <v>375</v>
      </c>
      <c r="CQ24" s="15">
        <f t="shared" si="120"/>
        <v>375</v>
      </c>
      <c r="CR24" s="15">
        <f t="shared" si="120"/>
        <v>375</v>
      </c>
      <c r="CS24" s="15">
        <f t="shared" si="120"/>
        <v>375</v>
      </c>
      <c r="CT24" s="15">
        <f t="shared" si="120"/>
        <v>375</v>
      </c>
      <c r="CU24" s="15">
        <f t="shared" si="120"/>
        <v>375</v>
      </c>
      <c r="CV24" s="15">
        <f t="shared" si="120"/>
        <v>375</v>
      </c>
      <c r="CW24" s="15">
        <f t="shared" si="120"/>
        <v>375</v>
      </c>
      <c r="CX24" s="15">
        <f t="shared" si="120"/>
        <v>375</v>
      </c>
      <c r="CY24" s="15">
        <f t="shared" si="120"/>
        <v>375</v>
      </c>
    </row>
    <row r="25" spans="1:155" x14ac:dyDescent="0.25">
      <c r="A25" s="16">
        <f t="shared" si="98"/>
        <v>599</v>
      </c>
      <c r="B25" t="s">
        <v>36</v>
      </c>
      <c r="C25" s="13">
        <v>42.516666666666666</v>
      </c>
      <c r="D25" s="13">
        <v>44.8</v>
      </c>
      <c r="E25" s="13">
        <v>49.766666666666666</v>
      </c>
      <c r="F25" s="13">
        <v>63.233333333333334</v>
      </c>
      <c r="G25" s="13">
        <v>21.516666666666666</v>
      </c>
      <c r="H25" s="13">
        <v>43.7</v>
      </c>
      <c r="I25" s="13">
        <v>36</v>
      </c>
      <c r="J25" s="13">
        <v>78.716666666666669</v>
      </c>
      <c r="K25" s="13">
        <v>87.816666666666663</v>
      </c>
      <c r="L25" s="13">
        <v>94.666666666666671</v>
      </c>
      <c r="M25" s="13">
        <v>68.966666666666669</v>
      </c>
      <c r="N25" s="13">
        <v>91.266666666666666</v>
      </c>
      <c r="O25" s="13">
        <v>70.433333333333337</v>
      </c>
      <c r="P25" s="13">
        <v>96.166666666666671</v>
      </c>
      <c r="Q25" s="13">
        <v>18.666666666666668</v>
      </c>
      <c r="R25" s="13">
        <v>36.466666666666669</v>
      </c>
      <c r="S25" s="13">
        <v>32.016666666666666</v>
      </c>
      <c r="T25" s="13">
        <v>44.25</v>
      </c>
      <c r="U25" s="13">
        <v>21.616666666666667</v>
      </c>
      <c r="V25" s="13">
        <v>86.216666666666669</v>
      </c>
      <c r="W25" s="13">
        <v>60.016666666666666</v>
      </c>
      <c r="X25" s="13">
        <v>90.35</v>
      </c>
      <c r="Y25" s="13">
        <v>180.78333333333333</v>
      </c>
      <c r="Z25" s="13">
        <v>315.08333333333331</v>
      </c>
      <c r="AA25" s="13">
        <v>187.4</v>
      </c>
      <c r="AB25" s="13">
        <v>683.8</v>
      </c>
      <c r="AC25" s="13">
        <v>71.333333333333329</v>
      </c>
      <c r="AD25" s="13">
        <v>122.51666666666667</v>
      </c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B25" s="15">
        <v>0</v>
      </c>
      <c r="BC25" s="15">
        <v>0</v>
      </c>
      <c r="BD25" s="15">
        <f t="shared" ref="BD25:CY25" si="121">IF(E25&lt;&gt;"",IF(E25=DD$3,25,IF(E25=DD$4,24,IF(E25=DD$5,23,IF(E25=DD$6,22,IF(E25=DD$6,22,IF(E25=DD$7,21,IF(E25=DD$8,20,IF(E25=DD$9,19,IF(E25=DD$10,18,IF(E25=DD$11,17,0)))))))))),0)+BC25</f>
        <v>24</v>
      </c>
      <c r="BE25" s="15">
        <f t="shared" si="121"/>
        <v>48</v>
      </c>
      <c r="BF25" s="15">
        <f t="shared" si="121"/>
        <v>72</v>
      </c>
      <c r="BG25" s="15">
        <f t="shared" si="121"/>
        <v>96</v>
      </c>
      <c r="BH25" s="15">
        <f t="shared" si="121"/>
        <v>120</v>
      </c>
      <c r="BI25" s="15">
        <f t="shared" si="121"/>
        <v>144</v>
      </c>
      <c r="BJ25" s="15">
        <f t="shared" si="121"/>
        <v>166</v>
      </c>
      <c r="BK25" s="15">
        <f t="shared" si="121"/>
        <v>188</v>
      </c>
      <c r="BL25" s="15">
        <f t="shared" si="121"/>
        <v>210</v>
      </c>
      <c r="BM25" s="15">
        <f t="shared" si="121"/>
        <v>232</v>
      </c>
      <c r="BN25" s="15">
        <f t="shared" si="121"/>
        <v>256</v>
      </c>
      <c r="BO25" s="15">
        <f t="shared" si="121"/>
        <v>281</v>
      </c>
      <c r="BP25" s="15">
        <f t="shared" si="121"/>
        <v>305</v>
      </c>
      <c r="BQ25" s="15">
        <f t="shared" si="121"/>
        <v>329</v>
      </c>
      <c r="BR25" s="15">
        <f t="shared" si="121"/>
        <v>351</v>
      </c>
      <c r="BS25" s="15">
        <f t="shared" si="121"/>
        <v>373</v>
      </c>
      <c r="BT25" s="15">
        <f t="shared" si="121"/>
        <v>396</v>
      </c>
      <c r="BU25" s="15">
        <f t="shared" si="121"/>
        <v>420</v>
      </c>
      <c r="BV25" s="15">
        <f t="shared" si="121"/>
        <v>445</v>
      </c>
      <c r="BW25" s="15">
        <f t="shared" si="121"/>
        <v>469</v>
      </c>
      <c r="BX25" s="15">
        <f t="shared" si="121"/>
        <v>490</v>
      </c>
      <c r="BY25" s="15">
        <f t="shared" si="121"/>
        <v>510</v>
      </c>
      <c r="BZ25" s="15">
        <f t="shared" si="121"/>
        <v>531</v>
      </c>
      <c r="CA25" s="15">
        <f t="shared" si="121"/>
        <v>551</v>
      </c>
      <c r="CB25" s="15">
        <f t="shared" si="121"/>
        <v>574</v>
      </c>
      <c r="CC25" s="15">
        <f t="shared" si="121"/>
        <v>599</v>
      </c>
      <c r="CD25" s="15">
        <f t="shared" si="121"/>
        <v>599</v>
      </c>
      <c r="CE25" s="15">
        <f t="shared" si="121"/>
        <v>599</v>
      </c>
      <c r="CF25" s="15">
        <f t="shared" si="121"/>
        <v>599</v>
      </c>
      <c r="CG25" s="15">
        <f t="shared" si="121"/>
        <v>599</v>
      </c>
      <c r="CH25" s="15">
        <f t="shared" si="121"/>
        <v>599</v>
      </c>
      <c r="CI25" s="15">
        <f t="shared" si="121"/>
        <v>599</v>
      </c>
      <c r="CJ25" s="15">
        <f t="shared" si="121"/>
        <v>599</v>
      </c>
      <c r="CK25" s="15">
        <f t="shared" si="121"/>
        <v>599</v>
      </c>
      <c r="CL25" s="15">
        <f t="shared" si="121"/>
        <v>599</v>
      </c>
      <c r="CM25" s="15">
        <f t="shared" si="121"/>
        <v>599</v>
      </c>
      <c r="CN25" s="15">
        <f t="shared" si="121"/>
        <v>599</v>
      </c>
      <c r="CO25" s="15">
        <f t="shared" si="121"/>
        <v>599</v>
      </c>
      <c r="CP25" s="15">
        <f t="shared" si="121"/>
        <v>599</v>
      </c>
      <c r="CQ25" s="15">
        <f t="shared" si="121"/>
        <v>599</v>
      </c>
      <c r="CR25" s="15">
        <f t="shared" si="121"/>
        <v>599</v>
      </c>
      <c r="CS25" s="15">
        <f t="shared" si="121"/>
        <v>599</v>
      </c>
      <c r="CT25" s="15">
        <f t="shared" si="121"/>
        <v>599</v>
      </c>
      <c r="CU25" s="15">
        <f t="shared" si="121"/>
        <v>599</v>
      </c>
      <c r="CV25" s="15">
        <f t="shared" si="121"/>
        <v>599</v>
      </c>
      <c r="CW25" s="15">
        <f t="shared" si="121"/>
        <v>599</v>
      </c>
      <c r="CX25" s="15">
        <f t="shared" si="121"/>
        <v>599</v>
      </c>
      <c r="CY25" s="15">
        <f t="shared" si="121"/>
        <v>599</v>
      </c>
    </row>
    <row r="26" spans="1:155" x14ac:dyDescent="0.25">
      <c r="A26" s="16">
        <f t="shared" si="98"/>
        <v>0</v>
      </c>
      <c r="B26" t="s">
        <v>37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B26" s="15">
        <v>0</v>
      </c>
      <c r="BC26" s="15">
        <v>0</v>
      </c>
      <c r="BD26" s="15">
        <f t="shared" ref="BD26:CY26" si="122">IF(E26&lt;&gt;"",IF(E26=DD$3,25,IF(E26=DD$4,24,IF(E26=DD$5,23,IF(E26=DD$6,22,IF(E26=DD$6,22,IF(E26=DD$7,21,IF(E26=DD$8,20,IF(E26=DD$9,19,IF(E26=DD$10,18,IF(E26=DD$11,17,0)))))))))),0)+BC26</f>
        <v>0</v>
      </c>
      <c r="BE26" s="15">
        <f t="shared" si="122"/>
        <v>0</v>
      </c>
      <c r="BF26" s="15">
        <f t="shared" si="122"/>
        <v>0</v>
      </c>
      <c r="BG26" s="15">
        <f t="shared" si="122"/>
        <v>0</v>
      </c>
      <c r="BH26" s="15">
        <f t="shared" si="122"/>
        <v>0</v>
      </c>
      <c r="BI26" s="15">
        <f t="shared" si="122"/>
        <v>0</v>
      </c>
      <c r="BJ26" s="15">
        <f t="shared" si="122"/>
        <v>0</v>
      </c>
      <c r="BK26" s="15">
        <f t="shared" si="122"/>
        <v>0</v>
      </c>
      <c r="BL26" s="15">
        <f t="shared" si="122"/>
        <v>0</v>
      </c>
      <c r="BM26" s="15">
        <f t="shared" si="122"/>
        <v>0</v>
      </c>
      <c r="BN26" s="15">
        <f t="shared" si="122"/>
        <v>0</v>
      </c>
      <c r="BO26" s="15">
        <f t="shared" si="122"/>
        <v>0</v>
      </c>
      <c r="BP26" s="15">
        <f t="shared" si="122"/>
        <v>0</v>
      </c>
      <c r="BQ26" s="15">
        <f t="shared" si="122"/>
        <v>0</v>
      </c>
      <c r="BR26" s="15">
        <f t="shared" si="122"/>
        <v>0</v>
      </c>
      <c r="BS26" s="15">
        <f t="shared" si="122"/>
        <v>0</v>
      </c>
      <c r="BT26" s="15">
        <f t="shared" si="122"/>
        <v>0</v>
      </c>
      <c r="BU26" s="15">
        <f t="shared" si="122"/>
        <v>0</v>
      </c>
      <c r="BV26" s="15">
        <f t="shared" si="122"/>
        <v>0</v>
      </c>
      <c r="BW26" s="15">
        <f t="shared" si="122"/>
        <v>0</v>
      </c>
      <c r="BX26" s="15">
        <f t="shared" si="122"/>
        <v>0</v>
      </c>
      <c r="BY26" s="15">
        <f t="shared" si="122"/>
        <v>0</v>
      </c>
      <c r="BZ26" s="15">
        <f t="shared" si="122"/>
        <v>0</v>
      </c>
      <c r="CA26" s="15">
        <f t="shared" si="122"/>
        <v>0</v>
      </c>
      <c r="CB26" s="15">
        <f t="shared" si="122"/>
        <v>0</v>
      </c>
      <c r="CC26" s="15">
        <f t="shared" si="122"/>
        <v>0</v>
      </c>
      <c r="CD26" s="15">
        <f t="shared" si="122"/>
        <v>0</v>
      </c>
      <c r="CE26" s="15">
        <f t="shared" si="122"/>
        <v>0</v>
      </c>
      <c r="CF26" s="15">
        <f t="shared" si="122"/>
        <v>0</v>
      </c>
      <c r="CG26" s="15">
        <f t="shared" si="122"/>
        <v>0</v>
      </c>
      <c r="CH26" s="15">
        <f t="shared" si="122"/>
        <v>0</v>
      </c>
      <c r="CI26" s="15">
        <f t="shared" si="122"/>
        <v>0</v>
      </c>
      <c r="CJ26" s="15">
        <f t="shared" si="122"/>
        <v>0</v>
      </c>
      <c r="CK26" s="15">
        <f t="shared" si="122"/>
        <v>0</v>
      </c>
      <c r="CL26" s="15">
        <f t="shared" si="122"/>
        <v>0</v>
      </c>
      <c r="CM26" s="15">
        <f t="shared" si="122"/>
        <v>0</v>
      </c>
      <c r="CN26" s="15">
        <f t="shared" si="122"/>
        <v>0</v>
      </c>
      <c r="CO26" s="15">
        <f t="shared" si="122"/>
        <v>0</v>
      </c>
      <c r="CP26" s="15">
        <f t="shared" si="122"/>
        <v>0</v>
      </c>
      <c r="CQ26" s="15">
        <f t="shared" si="122"/>
        <v>0</v>
      </c>
      <c r="CR26" s="15">
        <f t="shared" si="122"/>
        <v>0</v>
      </c>
      <c r="CS26" s="15">
        <f t="shared" si="122"/>
        <v>0</v>
      </c>
      <c r="CT26" s="15">
        <f t="shared" si="122"/>
        <v>0</v>
      </c>
      <c r="CU26" s="15">
        <f t="shared" si="122"/>
        <v>0</v>
      </c>
      <c r="CV26" s="15">
        <f t="shared" si="122"/>
        <v>0</v>
      </c>
      <c r="CW26" s="15">
        <f t="shared" si="122"/>
        <v>0</v>
      </c>
      <c r="CX26" s="15">
        <f t="shared" si="122"/>
        <v>0</v>
      </c>
      <c r="CY26" s="15">
        <f t="shared" si="122"/>
        <v>0</v>
      </c>
    </row>
    <row r="27" spans="1:155" x14ac:dyDescent="0.25">
      <c r="A27" s="16">
        <f t="shared" si="98"/>
        <v>584</v>
      </c>
      <c r="B27" t="s">
        <v>38</v>
      </c>
      <c r="C27" s="13">
        <v>128.53333333333333</v>
      </c>
      <c r="D27" s="13">
        <v>128.53333333333333</v>
      </c>
      <c r="E27" s="13">
        <v>136.44999999999999</v>
      </c>
      <c r="F27" s="13">
        <v>136.44999999999999</v>
      </c>
      <c r="G27" s="13">
        <v>70.05</v>
      </c>
      <c r="H27" s="13">
        <v>97.8</v>
      </c>
      <c r="I27" s="13">
        <v>148.19999999999999</v>
      </c>
      <c r="J27" s="13">
        <v>216.35</v>
      </c>
      <c r="K27" s="13">
        <v>29.4</v>
      </c>
      <c r="L27" s="13">
        <v>40.35</v>
      </c>
      <c r="M27" s="13">
        <v>16.05</v>
      </c>
      <c r="N27" s="13">
        <v>36.083333333333336</v>
      </c>
      <c r="O27" s="13">
        <v>164.2</v>
      </c>
      <c r="P27" s="13">
        <v>214.91666666666666</v>
      </c>
      <c r="Q27" s="13">
        <v>84.88333333333334</v>
      </c>
      <c r="R27" s="13">
        <v>145.85</v>
      </c>
      <c r="S27" s="13">
        <v>78.13333333333334</v>
      </c>
      <c r="T27" s="13">
        <v>101.96666666666667</v>
      </c>
      <c r="U27" s="13">
        <v>70.316666666666663</v>
      </c>
      <c r="V27" s="13">
        <v>107.11666666666666</v>
      </c>
      <c r="W27" s="13">
        <v>149.41666666666666</v>
      </c>
      <c r="X27" s="13">
        <v>149.41666666666666</v>
      </c>
      <c r="Y27" s="13">
        <v>28.316666666666666</v>
      </c>
      <c r="Z27" s="13">
        <v>28.316666666666666</v>
      </c>
      <c r="AA27" s="13">
        <v>17.483333333333334</v>
      </c>
      <c r="AB27" s="13">
        <v>174.1</v>
      </c>
      <c r="AC27" s="13">
        <v>93.533333333333331</v>
      </c>
      <c r="AD27" s="13">
        <v>138.41666666666666</v>
      </c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B27" s="15">
        <v>0</v>
      </c>
      <c r="BC27" s="15">
        <v>0</v>
      </c>
      <c r="BD27" s="15">
        <f t="shared" ref="BD27:CY27" si="123">IF(E27&lt;&gt;"",IF(E27=DD$3,25,IF(E27=DD$4,24,IF(E27=DD$5,23,IF(E27=DD$6,22,IF(E27=DD$6,22,IF(E27=DD$7,21,IF(E27=DD$8,20,IF(E27=DD$9,19,IF(E27=DD$10,18,IF(E27=DD$11,17,0)))))))))),0)+BC27</f>
        <v>23</v>
      </c>
      <c r="BE27" s="15">
        <f t="shared" si="123"/>
        <v>46</v>
      </c>
      <c r="BF27" s="15">
        <f t="shared" si="123"/>
        <v>68</v>
      </c>
      <c r="BG27" s="15">
        <f t="shared" si="123"/>
        <v>90</v>
      </c>
      <c r="BH27" s="15">
        <f t="shared" si="123"/>
        <v>109</v>
      </c>
      <c r="BI27" s="15">
        <f t="shared" si="123"/>
        <v>128</v>
      </c>
      <c r="BJ27" s="15">
        <f t="shared" si="123"/>
        <v>151</v>
      </c>
      <c r="BK27" s="15">
        <f t="shared" si="123"/>
        <v>174</v>
      </c>
      <c r="BL27" s="15">
        <f t="shared" si="123"/>
        <v>198</v>
      </c>
      <c r="BM27" s="15">
        <f t="shared" si="123"/>
        <v>223</v>
      </c>
      <c r="BN27" s="15">
        <f t="shared" si="123"/>
        <v>246</v>
      </c>
      <c r="BO27" s="15">
        <f t="shared" si="123"/>
        <v>269</v>
      </c>
      <c r="BP27" s="15">
        <f t="shared" si="123"/>
        <v>291</v>
      </c>
      <c r="BQ27" s="15">
        <f t="shared" si="123"/>
        <v>312</v>
      </c>
      <c r="BR27" s="15">
        <f t="shared" si="123"/>
        <v>332</v>
      </c>
      <c r="BS27" s="15">
        <f t="shared" si="123"/>
        <v>352</v>
      </c>
      <c r="BT27" s="15">
        <f t="shared" si="123"/>
        <v>374</v>
      </c>
      <c r="BU27" s="15">
        <f t="shared" si="123"/>
        <v>397</v>
      </c>
      <c r="BV27" s="15">
        <f t="shared" si="123"/>
        <v>420</v>
      </c>
      <c r="BW27" s="15">
        <f t="shared" si="123"/>
        <v>443</v>
      </c>
      <c r="BX27" s="15">
        <f t="shared" si="123"/>
        <v>466</v>
      </c>
      <c r="BY27" s="15">
        <f t="shared" si="123"/>
        <v>491</v>
      </c>
      <c r="BZ27" s="15">
        <f t="shared" si="123"/>
        <v>514</v>
      </c>
      <c r="CA27" s="15">
        <f t="shared" si="123"/>
        <v>539</v>
      </c>
      <c r="CB27" s="15">
        <f t="shared" si="123"/>
        <v>560</v>
      </c>
      <c r="CC27" s="15">
        <f t="shared" si="123"/>
        <v>584</v>
      </c>
      <c r="CD27" s="15">
        <f t="shared" si="123"/>
        <v>584</v>
      </c>
      <c r="CE27" s="15">
        <f t="shared" si="123"/>
        <v>584</v>
      </c>
      <c r="CF27" s="15">
        <f t="shared" si="123"/>
        <v>584</v>
      </c>
      <c r="CG27" s="15">
        <f t="shared" si="123"/>
        <v>584</v>
      </c>
      <c r="CH27" s="15">
        <f t="shared" si="123"/>
        <v>584</v>
      </c>
      <c r="CI27" s="15">
        <f t="shared" si="123"/>
        <v>584</v>
      </c>
      <c r="CJ27" s="15">
        <f t="shared" si="123"/>
        <v>584</v>
      </c>
      <c r="CK27" s="15">
        <f t="shared" si="123"/>
        <v>584</v>
      </c>
      <c r="CL27" s="15">
        <f t="shared" si="123"/>
        <v>584</v>
      </c>
      <c r="CM27" s="15">
        <f t="shared" si="123"/>
        <v>584</v>
      </c>
      <c r="CN27" s="15">
        <f t="shared" si="123"/>
        <v>584</v>
      </c>
      <c r="CO27" s="15">
        <f t="shared" si="123"/>
        <v>584</v>
      </c>
      <c r="CP27" s="15">
        <f t="shared" si="123"/>
        <v>584</v>
      </c>
      <c r="CQ27" s="15">
        <f t="shared" si="123"/>
        <v>584</v>
      </c>
      <c r="CR27" s="15">
        <f t="shared" si="123"/>
        <v>584</v>
      </c>
      <c r="CS27" s="15">
        <f t="shared" si="123"/>
        <v>584</v>
      </c>
      <c r="CT27" s="15">
        <f t="shared" si="123"/>
        <v>584</v>
      </c>
      <c r="CU27" s="15">
        <f t="shared" si="123"/>
        <v>584</v>
      </c>
      <c r="CV27" s="15">
        <f t="shared" si="123"/>
        <v>584</v>
      </c>
      <c r="CW27" s="15">
        <f t="shared" si="123"/>
        <v>584</v>
      </c>
      <c r="CX27" s="15">
        <f t="shared" si="123"/>
        <v>584</v>
      </c>
      <c r="CY27" s="15">
        <f t="shared" si="123"/>
        <v>584</v>
      </c>
    </row>
    <row r="28" spans="1:155" x14ac:dyDescent="0.25">
      <c r="A28" s="14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V28" s="15"/>
      <c r="CW28" s="15"/>
      <c r="CX28" s="15"/>
      <c r="CY28" s="15"/>
    </row>
    <row r="29" spans="1:155" x14ac:dyDescent="0.25">
      <c r="A29" s="14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</row>
    <row r="30" spans="1:155" x14ac:dyDescent="0.25"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</row>
    <row r="31" spans="1:155" x14ac:dyDescent="0.25"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</row>
    <row r="32" spans="1:155" x14ac:dyDescent="0.25"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</row>
    <row r="33" spans="3:103" x14ac:dyDescent="0.25"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</row>
    <row r="34" spans="3:103" x14ac:dyDescent="0.25"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</row>
    <row r="35" spans="3:103" x14ac:dyDescent="0.25"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</row>
    <row r="36" spans="3:103" x14ac:dyDescent="0.25"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</row>
    <row r="37" spans="3:103" x14ac:dyDescent="0.25"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</row>
    <row r="38" spans="3:103" x14ac:dyDescent="0.25"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</row>
    <row r="39" spans="3:103" x14ac:dyDescent="0.25"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</row>
    <row r="40" spans="3:103" x14ac:dyDescent="0.25"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</row>
    <row r="41" spans="3:103" x14ac:dyDescent="0.25"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</row>
    <row r="42" spans="3:103" x14ac:dyDescent="0.25"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</row>
    <row r="43" spans="3:103" x14ac:dyDescent="0.25"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</row>
    <row r="44" spans="3:103" x14ac:dyDescent="0.25"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</row>
    <row r="45" spans="3:103" x14ac:dyDescent="0.25"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</row>
    <row r="46" spans="3:103" x14ac:dyDescent="0.25"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</row>
    <row r="47" spans="3:103" x14ac:dyDescent="0.25"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</row>
    <row r="48" spans="3:103" x14ac:dyDescent="0.25"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</row>
    <row r="49" spans="3:103" x14ac:dyDescent="0.25"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</row>
    <row r="50" spans="3:103" x14ac:dyDescent="0.25"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</row>
    <row r="51" spans="3:103" x14ac:dyDescent="0.25"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</row>
    <row r="52" spans="3:103" x14ac:dyDescent="0.25"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</row>
    <row r="53" spans="3:103" x14ac:dyDescent="0.25"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</row>
    <row r="54" spans="3:103" x14ac:dyDescent="0.25"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</row>
    <row r="55" spans="3:103" x14ac:dyDescent="0.25"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</row>
    <row r="56" spans="3:103" x14ac:dyDescent="0.25"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</row>
    <row r="57" spans="3:103" x14ac:dyDescent="0.25"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</row>
    <row r="58" spans="3:103" x14ac:dyDescent="0.25"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</row>
    <row r="59" spans="3:103" x14ac:dyDescent="0.25"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</row>
    <row r="60" spans="3:103" x14ac:dyDescent="0.25"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</row>
    <row r="61" spans="3:103" x14ac:dyDescent="0.25"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</row>
    <row r="62" spans="3:103" x14ac:dyDescent="0.25"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</row>
    <row r="63" spans="3:103" x14ac:dyDescent="0.25"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</row>
    <row r="110" spans="2:2" x14ac:dyDescent="0.25">
      <c r="B110" t="s">
        <v>15</v>
      </c>
    </row>
    <row r="111" spans="2:2" x14ac:dyDescent="0.25">
      <c r="B111" t="s">
        <v>15</v>
      </c>
    </row>
    <row r="158" spans="2:2" x14ac:dyDescent="0.25">
      <c r="B158" t="s">
        <v>16</v>
      </c>
    </row>
    <row r="159" spans="2:2" x14ac:dyDescent="0.25">
      <c r="B159" t="s">
        <v>16</v>
      </c>
    </row>
    <row r="494" spans="2:2" x14ac:dyDescent="0.25">
      <c r="B494" t="s">
        <v>20</v>
      </c>
    </row>
    <row r="1042" spans="2:2" x14ac:dyDescent="0.25">
      <c r="B1042" t="s">
        <v>18</v>
      </c>
    </row>
    <row r="1043" spans="2:2" x14ac:dyDescent="0.25">
      <c r="B1043" t="s">
        <v>18</v>
      </c>
    </row>
    <row r="1061" spans="2:2" x14ac:dyDescent="0.25">
      <c r="B1061" t="s">
        <v>17</v>
      </c>
    </row>
    <row r="1062" spans="2:2" x14ac:dyDescent="0.25">
      <c r="B1062" t="s">
        <v>17</v>
      </c>
    </row>
    <row r="1067" spans="2:2" x14ac:dyDescent="0.25">
      <c r="B1067" t="s">
        <v>19</v>
      </c>
    </row>
    <row r="1068" spans="2:2" x14ac:dyDescent="0.25">
      <c r="B1068" t="s">
        <v>19</v>
      </c>
    </row>
  </sheetData>
  <mergeCells count="50">
    <mergeCell ref="AI1:AJ1"/>
    <mergeCell ref="AY1:AZ1"/>
    <mergeCell ref="AM1:AN1"/>
    <mergeCell ref="AO1:AP1"/>
    <mergeCell ref="AQ1:AR1"/>
    <mergeCell ref="AS1:AT1"/>
    <mergeCell ref="AU1:AV1"/>
    <mergeCell ref="AW1:AX1"/>
    <mergeCell ref="C1:D1"/>
    <mergeCell ref="E1:F1"/>
    <mergeCell ref="G1:H1"/>
    <mergeCell ref="I1:J1"/>
    <mergeCell ref="K1:L1"/>
    <mergeCell ref="M1:N1"/>
    <mergeCell ref="BB1:BC1"/>
    <mergeCell ref="BD1:BE1"/>
    <mergeCell ref="BF1:BG1"/>
    <mergeCell ref="BH1:BI1"/>
    <mergeCell ref="AK1:AL1"/>
    <mergeCell ref="O1:P1"/>
    <mergeCell ref="Q1:R1"/>
    <mergeCell ref="S1:T1"/>
    <mergeCell ref="U1:V1"/>
    <mergeCell ref="W1:X1"/>
    <mergeCell ref="Y1:Z1"/>
    <mergeCell ref="AA1:AB1"/>
    <mergeCell ref="AC1:AD1"/>
    <mergeCell ref="AE1:AF1"/>
    <mergeCell ref="AG1:AH1"/>
    <mergeCell ref="BJ1:BK1"/>
    <mergeCell ref="BL1:BM1"/>
    <mergeCell ref="BN1:BO1"/>
    <mergeCell ref="BP1:BQ1"/>
    <mergeCell ref="BR1:BS1"/>
    <mergeCell ref="BT1:BU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X1:CY1"/>
    <mergeCell ref="CN1:CO1"/>
    <mergeCell ref="CP1:CQ1"/>
    <mergeCell ref="CR1:CS1"/>
    <mergeCell ref="CT1:CU1"/>
    <mergeCell ref="CV1:CW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tabSelected="1" workbookViewId="0">
      <selection activeCell="S6" sqref="S6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Score</vt:lpstr>
      <vt:lpstr>Leaderboard</vt:lpstr>
      <vt:lpstr>Graph</vt:lpstr>
    </vt:vector>
  </TitlesOfParts>
  <Company>SAAB 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anthon.liljeroth@saabgroup.com</dc:creator>
  <cp:lastModifiedBy>anthon.liljeroth@saabgroup.com</cp:lastModifiedBy>
  <dcterms:created xsi:type="dcterms:W3CDTF">2020-12-01T07:17:45Z</dcterms:created>
  <dcterms:modified xsi:type="dcterms:W3CDTF">2020-12-14T15:16:53Z</dcterms:modified>
</cp:coreProperties>
</file>